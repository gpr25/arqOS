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UB GERAL" sheetId="1" state="visible" r:id="rId3"/>
    <sheet name="Triunfo do Brasil" sheetId="2" state="visible" r:id="rId4"/>
    <sheet name="Shopping Cidade" sheetId="3" state="visible" r:id="rId5"/>
    <sheet name="Autoshopping Linha Verde" sheetId="4" state="visible" r:id="rId6"/>
    <sheet name="Make.it" sheetId="5" state="visible" r:id="rId7"/>
    <sheet name="Gaden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<sst xmlns="http://schemas.openxmlformats.org/spreadsheetml/2006/main" count="138" uniqueCount="41">
  <si>
    <t xml:space="preserve">GADENS — HUB DE PERFORMANCE SEMANAL</t>
  </si>
  <si>
    <t xml:space="preserve">Dados puxados automaticamente das abas de cada empresa. Preencha os dados semanais nas abas individuais.</t>
  </si>
  <si>
    <t xml:space="preserve">Empresa</t>
  </si>
  <si>
    <t xml:space="preserve">Plataforma</t>
  </si>
  <si>
    <t xml:space="preserve">Ultima Semana</t>
  </si>
  <si>
    <t xml:space="preserve">Investimento
(R$)</t>
  </si>
  <si>
    <t xml:space="preserve">Leads</t>
  </si>
  <si>
    <t xml:space="preserve">CPL
(R$)</t>
  </si>
  <si>
    <t xml:space="preserve">CPL
Sem. Ant.</t>
  </si>
  <si>
    <t xml:space="preserve">Var. CPL
%</t>
  </si>
  <si>
    <t xml:space="preserve">Status</t>
  </si>
  <si>
    <t xml:space="preserve">Meta CPL
(R$)</t>
  </si>
  <si>
    <t xml:space="preserve">vs Meta</t>
  </si>
  <si>
    <t xml:space="preserve">Triunfo do Brasil</t>
  </si>
  <si>
    <t xml:space="preserve">Meta Ads</t>
  </si>
  <si>
    <t xml:space="preserve">Google Search</t>
  </si>
  <si>
    <t xml:space="preserve">Google PMax</t>
  </si>
  <si>
    <t xml:space="preserve">Shopping Cidade</t>
  </si>
  <si>
    <t xml:space="preserve">Autoshopping Linha Verde</t>
  </si>
  <si>
    <t xml:space="preserve">Make.it</t>
  </si>
  <si>
    <t xml:space="preserve">Gadens</t>
  </si>
  <si>
    <t xml:space="preserve">TRIUNFO DO BRASIL — PERFORMANCE SEMANAL</t>
  </si>
  <si>
    <t xml:space="preserve">META CPL Meta Ads (R$):</t>
  </si>
  <si>
    <t xml:space="preserve">META CPL Google (R$):</t>
  </si>
  <si>
    <t xml:space="preserve">Celulas amarelas = input manual  |  Cinza = calculado automaticamente  |  Preencha as metas de CPL quando tiver os numeros</t>
  </si>
  <si>
    <t xml:space="preserve">Semana
(inicio)</t>
  </si>
  <si>
    <t xml:space="preserve">Impressoes</t>
  </si>
  <si>
    <t xml:space="preserve">Alcance
(Meta)</t>
  </si>
  <si>
    <t xml:space="preserve">Cliques</t>
  </si>
  <si>
    <t xml:space="preserve">CTR
(%)</t>
  </si>
  <si>
    <t xml:space="preserve">CPC
(R$)</t>
  </si>
  <si>
    <t xml:space="preserve">CPM
(R$)</t>
  </si>
  <si>
    <t xml:space="preserve">Leads /
Conversoes</t>
  </si>
  <si>
    <t xml:space="preserve">Taxa Conv.
(%)</t>
  </si>
  <si>
    <t xml:space="preserve">ROAS</t>
  </si>
  <si>
    <t xml:space="preserve">Leads
Offline</t>
  </si>
  <si>
    <t xml:space="preserve">Observacoes</t>
  </si>
  <si>
    <t xml:space="preserve">SHOPPING CIDADE — PERFORMANCE SEMANAL</t>
  </si>
  <si>
    <t xml:space="preserve">AUTOSHOPPING LINHA VERDE — PERFORMANCE SEMANAL</t>
  </si>
  <si>
    <t xml:space="preserve">MAKE.IT — PERFORMANCE SEMANAL</t>
  </si>
  <si>
    <t xml:space="preserve">GADENS — PERFORMANCE SEMANAL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</si>
</sst>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R$ &quot;#,##0.00"/>
    <numFmt numFmtId="166" formatCode="0.0%"/>
    <numFmt numFmtId="167" formatCode="dd/mm/yyyy"/>
    <numFmt numFmtId="168" formatCode="#,##0"/>
    <numFmt numFmtId="169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59595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DEEAF1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F2F2F2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8CCE4"/>
      </left>
      <right/>
      <top style="thin">
        <color rgb="FFB8CCE4"/>
      </top>
      <bottom style="thin">
        <color rgb="FFB8CCE4"/>
      </bottom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 diagonalUp="false" diagonalDown="false">
      <left style="thin">
        <color rgb="FFFFD966"/>
      </left>
      <right style="thin">
        <color rgb="FFFFD966"/>
      </right>
      <top style="thin">
        <color rgb="FFFFD966"/>
      </top>
      <bottom style="thin">
        <color rgb="FFFFD96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375623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9C570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D966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C57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1" min="10" style="0" width="14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48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customFormat="false" ht="27.75" hidden="false" customHeight="true" outlineLevel="0" collapsed="false">
      <c r="A4" s="4" t="s">
        <v>13</v>
      </c>
      <c r="B4" s="5" t="s">
        <v>14</v>
      </c>
      <c r="C4" s="6" t="str">
        <f aca="false">IFERROR(TEXT(maxifs('Triunfo do Brasil'!$A:$A,'Triunfo do Brasil'!$B:$B,"Meta Ads"),"DD/MM/YYYY"),"--")</f>
        <v>--</v>
      </c>
      <c r="D4" s="7" t="str">
        <f aca="false">IFERROR(SUMIFS('Triunfo do Brasil'!$C:$C,'Triunfo do Brasil'!$A:$A,maxifs('Triunfo do Brasil'!$A:$A,'Triunfo do Brasil'!$B:$B,"Meta Ads"),'Triunfo do Brasil'!$B:$B,"Meta Ads"),"")</f>
        <v/>
      </c>
      <c r="E4" s="5" t="str">
        <f aca="false">IFERROR(SUMIFS('Triunfo do Brasil'!$J:$J,'Triunfo do Brasil'!$A:$A,maxifs('Triunfo do Brasil'!$A:$A,'Triunfo do Brasil'!$B:$B,"Meta Ads"),'Triunfo do Brasil'!$B:$B,"Meta Ads"),"")</f>
        <v/>
      </c>
      <c r="F4" s="8" t="str">
        <f aca="false">IFERROR(D4/E4,"")</f>
        <v/>
      </c>
      <c r="G4" s="8" t="str">
        <f aca="false">IFERROR(SUMIFS('Triunfo do Brasil'!$C:$C,'Triunfo do Brasil'!$A:$A,LARGE(IF('Triunfo do Brasil'!$B:$B="Meta Ads",'Triunfo do Brasil'!$A:$A),2),'Triunfo do Brasil'!$B:$B,"Meta Ads")/SUMIFS('Triunfo do Brasil'!$J:$J,'Triunfo do Brasil'!$A:$A,LARGE(IF('Triunfo do Brasil'!$B:$B="Meta Ads",'Triunfo do Brasil'!$A:$A),2),'Triunfo do Brasil'!$B:$B,"Meta Ads"),"")</f>
        <v/>
      </c>
      <c r="H4" s="9" t="str">
        <f aca="false">IFERROR((F4-G4)/G4,"")</f>
        <v/>
      </c>
      <c r="I4" s="6" t="str">
        <f aca="false">IFERROR(IF(H4="","--",IF(H4&lt;-0.05,"Melhorando",IF(H4&gt;0.05,"Piorando","Estavel"))),"--")</f>
        <v>--</v>
      </c>
      <c r="J4" s="7"/>
      <c r="K4" s="6" t="str">
        <f aca="false">IFERROR(IF(J4="","--",IF(F4&lt;=J4,"Dentro da meta","Acima da meta")),"--")</f>
        <v>--</v>
      </c>
    </row>
    <row r="5" customFormat="false" ht="27.75" hidden="false" customHeight="true" outlineLevel="0" collapsed="false">
      <c r="A5" s="10" t="s">
        <v>13</v>
      </c>
      <c r="B5" s="11" t="s">
        <v>15</v>
      </c>
      <c r="C5" s="6" t="str">
        <f aca="false">IFERROR(TEXT(maxifs('Triunfo do Brasil'!$A:$A,'Triunfo do Brasil'!$B:$B,"Google Search"),"DD/MM/YYYY"),"--")</f>
        <v>--</v>
      </c>
      <c r="D5" s="12" t="str">
        <f aca="false">IFERROR(SUMIFS('Triunfo do Brasil'!$C:$C,'Triunfo do Brasil'!$A:$A,maxifs('Triunfo do Brasil'!$A:$A,'Triunfo do Brasil'!$B:$B,"Google Search"),'Triunfo do Brasil'!$B:$B,"Google Search"),"")</f>
        <v/>
      </c>
      <c r="E5" s="11" t="str">
        <f aca="false">IFERROR(SUMIFS('Triunfo do Brasil'!$J:$J,'Triunfo do Brasil'!$A:$A,maxifs('Triunfo do Brasil'!$A:$A,'Triunfo do Brasil'!$B:$B,"Google Search"),'Triunfo do Brasil'!$B:$B,"Google Search"),"")</f>
        <v/>
      </c>
      <c r="F5" s="8" t="str">
        <f aca="false">IFERROR(D5/E5,"")</f>
        <v/>
      </c>
      <c r="G5" s="8" t="str">
        <f aca="false">IFERROR(SUMIFS('Triunfo do Brasil'!$C:$C,'Triunfo do Brasil'!$A:$A,LARGE(IF('Triunfo do Brasil'!$B:$B="Google Search",'Triunfo do Brasil'!$A:$A),2),'Triunfo do Brasil'!$B:$B,"Google Search")/SUMIFS('Triunfo do Brasil'!$J:$J,'Triunfo do Brasil'!$A:$A,LARGE(IF('Triunfo do Brasil'!$B:$B="Google Search",'Triunfo do Brasil'!$A:$A),2),'Triunfo do Brasil'!$B:$B,"Google Search"),"")</f>
        <v/>
      </c>
      <c r="H5" s="9" t="str">
        <f aca="false">IFERROR((F5-G5)/G5,"")</f>
        <v/>
      </c>
      <c r="I5" s="6" t="str">
        <f aca="false">IFERROR(IF(H5="","--",IF(H5&lt;-0.05,"Melhorando",IF(H5&gt;0.05,"Piorando","Estavel"))),"--")</f>
        <v>--</v>
      </c>
      <c r="J5" s="12"/>
      <c r="K5" s="6" t="str">
        <f aca="false">IFERROR(IF(J5="","--",IF(F5&lt;=J5,"Dentro da meta","Acima da meta")),"--")</f>
        <v>--</v>
      </c>
    </row>
    <row r="6" customFormat="false" ht="27.75" hidden="false" customHeight="true" outlineLevel="0" collapsed="false">
      <c r="A6" s="4" t="s">
        <v>13</v>
      </c>
      <c r="B6" s="5" t="s">
        <v>16</v>
      </c>
      <c r="C6" s="6" t="str">
        <f aca="false">IFERROR(TEXT(maxifs('Triunfo do Brasil'!$A:$A,'Triunfo do Brasil'!$B:$B,"Google PMax"),"DD/MM/YYYY"),"--")</f>
        <v>--</v>
      </c>
      <c r="D6" s="7" t="str">
        <f aca="false">IFERROR(SUMIFS('Triunfo do Brasil'!$C:$C,'Triunfo do Brasil'!$A:$A,maxifs('Triunfo do Brasil'!$A:$A,'Triunfo do Brasil'!$B:$B,"Google PMax"),'Triunfo do Brasil'!$B:$B,"Google PMax"),"")</f>
        <v/>
      </c>
      <c r="E6" s="5" t="str">
        <f aca="false">IFERROR(SUMIFS('Triunfo do Brasil'!$J:$J,'Triunfo do Brasil'!$A:$A,maxifs('Triunfo do Brasil'!$A:$A,'Triunfo do Brasil'!$B:$B,"Google PMax"),'Triunfo do Brasil'!$B:$B,"Google PMax"),"")</f>
        <v/>
      </c>
      <c r="F6" s="8" t="str">
        <f aca="false">IFERROR(D6/E6,"")</f>
        <v/>
      </c>
      <c r="G6" s="8" t="str">
        <f aca="false">IFERROR(SUMIFS('Triunfo do Brasil'!$C:$C,'Triunfo do Brasil'!$A:$A,LARGE(IF('Triunfo do Brasil'!$B:$B="Google PMax",'Triunfo do Brasil'!$A:$A),2),'Triunfo do Brasil'!$B:$B,"Google PMax")/SUMIFS('Triunfo do Brasil'!$J:$J,'Triunfo do Brasil'!$A:$A,LARGE(IF('Triunfo do Brasil'!$B:$B="Google PMax",'Triunfo do Brasil'!$A:$A),2),'Triunfo do Brasil'!$B:$B,"Google PMax"),"")</f>
        <v/>
      </c>
      <c r="H6" s="9" t="str">
        <f aca="false">IFERROR((F6-G6)/G6,"")</f>
        <v/>
      </c>
      <c r="I6" s="6" t="str">
        <f aca="false">IFERROR(IF(H6="","--",IF(H6&lt;-0.05,"Melhorando",IF(H6&gt;0.05,"Piorando","Estavel"))),"--")</f>
        <v>--</v>
      </c>
      <c r="J6" s="7"/>
      <c r="K6" s="6" t="str">
        <f aca="false">IFERROR(IF(J6="","--",IF(F6&lt;=J6,"Dentro da meta","Acima da meta")),"--")</f>
        <v>--</v>
      </c>
    </row>
    <row r="7" customFormat="false" ht="27.75" hidden="false" customHeight="true" outlineLevel="0" collapsed="false">
      <c r="A7" s="10" t="s">
        <v>17</v>
      </c>
      <c r="B7" s="11" t="s">
        <v>14</v>
      </c>
      <c r="C7" s="6" t="str">
        <f aca="false">IFERROR(TEXT(maxifs('Shopping Cidade'!$A:$A,'Shopping Cidade'!$B:$B,"Meta Ads"),"DD/MM/YYYY"),"--")</f>
        <v>--</v>
      </c>
      <c r="D7" s="12" t="str">
        <f aca="false">IFERROR(SUMIFS('Shopping Cidade'!$C:$C,'Shopping Cidade'!$A:$A,maxifs('Shopping Cidade'!$A:$A,'Shopping Cidade'!$B:$B,"Meta Ads"),'Shopping Cidade'!$B:$B,"Meta Ads"),"")</f>
        <v/>
      </c>
      <c r="E7" s="11" t="str">
        <f aca="false">IFERROR(SUMIFS('Shopping Cidade'!$J:$J,'Shopping Cidade'!$A:$A,maxifs('Shopping Cidade'!$A:$A,'Shopping Cidade'!$B:$B,"Meta Ads"),'Shopping Cidade'!$B:$B,"Meta Ads"),"")</f>
        <v/>
      </c>
      <c r="F7" s="8" t="str">
        <f aca="false">IFERROR(D7/E7,"")</f>
        <v/>
      </c>
      <c r="G7" s="8" t="str">
        <f aca="false">IFERROR(SUMIFS('Shopping Cidade'!$C:$C,'Shopping Cidade'!$A:$A,LARGE(IF('Shopping Cidade'!$B:$B="Meta Ads",'Shopping Cidade'!$A:$A),2),'Shopping Cidade'!$B:$B,"Meta Ads")/SUMIFS('Shopping Cidade'!$J:$J,'Shopping Cidade'!$A:$A,LARGE(IF('Shopping Cidade'!$B:$B="Meta Ads",'Shopping Cidade'!$A:$A),2),'Shopping Cidade'!$B:$B,"Meta Ads"),"")</f>
        <v/>
      </c>
      <c r="H7" s="9" t="str">
        <f aca="false">IFERROR((F7-G7)/G7,"")</f>
        <v/>
      </c>
      <c r="I7" s="6" t="str">
        <f aca="false">IFERROR(IF(H7="","--",IF(H7&lt;-0.05,"Melhorando",IF(H7&gt;0.05,"Piorando","Estavel"))),"--")</f>
        <v>--</v>
      </c>
      <c r="J7" s="12"/>
      <c r="K7" s="6" t="str">
        <f aca="false">IFERROR(IF(J7="","--",IF(F7&lt;=J7,"Dentro da meta","Acima da meta")),"--")</f>
        <v>--</v>
      </c>
    </row>
    <row r="8" customFormat="false" ht="27.75" hidden="false" customHeight="true" outlineLevel="0" collapsed="false">
      <c r="A8" s="4" t="s">
        <v>17</v>
      </c>
      <c r="B8" s="5" t="s">
        <v>15</v>
      </c>
      <c r="C8" s="6" t="str">
        <f aca="false">IFERROR(TEXT(maxifs('Shopping Cidade'!$A:$A,'Shopping Cidade'!$B:$B,"Google Search"),"DD/MM/YYYY"),"--")</f>
        <v>--</v>
      </c>
      <c r="D8" s="7" t="str">
        <f aca="false">IFERROR(SUMIFS('Shopping Cidade'!$C:$C,'Shopping Cidade'!$A:$A,maxifs('Shopping Cidade'!$A:$A,'Shopping Cidade'!$B:$B,"Google Search"),'Shopping Cidade'!$B:$B,"Google Search"),"")</f>
        <v/>
      </c>
      <c r="E8" s="5" t="str">
        <f aca="false">IFERROR(SUMIFS('Shopping Cidade'!$J:$J,'Shopping Cidade'!$A:$A,maxifs('Shopping Cidade'!$A:$A,'Shopping Cidade'!$B:$B,"Google Search"),'Shopping Cidade'!$B:$B,"Google Search"),"")</f>
        <v/>
      </c>
      <c r="F8" s="8" t="str">
        <f aca="false">IFERROR(D8/E8,"")</f>
        <v/>
      </c>
      <c r="G8" s="8" t="str">
        <f aca="false">IFERROR(SUMIFS('Shopping Cidade'!$C:$C,'Shopping Cidade'!$A:$A,LARGE(IF('Shopping Cidade'!$B:$B="Google Search",'Shopping Cidade'!$A:$A),2),'Shopping Cidade'!$B:$B,"Google Search")/SUMIFS('Shopping Cidade'!$J:$J,'Shopping Cidade'!$A:$A,LARGE(IF('Shopping Cidade'!$B:$B="Google Search",'Shopping Cidade'!$A:$A),2),'Shopping Cidade'!$B:$B,"Google Search"),"")</f>
        <v/>
      </c>
      <c r="H8" s="9" t="str">
        <f aca="false">IFERROR((F8-G8)/G8,"")</f>
        <v/>
      </c>
      <c r="I8" s="6" t="str">
        <f aca="false">IFERROR(IF(H8="","--",IF(H8&lt;-0.05,"Melhorando",IF(H8&gt;0.05,"Piorando","Estavel"))),"--")</f>
        <v>--</v>
      </c>
      <c r="J8" s="7"/>
      <c r="K8" s="6" t="str">
        <f aca="false">IFERROR(IF(J8="","--",IF(F8&lt;=J8,"Dentro da meta","Acima da meta")),"--")</f>
        <v>--</v>
      </c>
    </row>
    <row r="9" customFormat="false" ht="27.75" hidden="false" customHeight="true" outlineLevel="0" collapsed="false">
      <c r="A9" s="10" t="s">
        <v>17</v>
      </c>
      <c r="B9" s="11" t="s">
        <v>16</v>
      </c>
      <c r="C9" s="6" t="str">
        <f aca="false">IFERROR(TEXT(maxifs('Shopping Cidade'!$A:$A,'Shopping Cidade'!$B:$B,"Google PMax"),"DD/MM/YYYY"),"--")</f>
        <v>--</v>
      </c>
      <c r="D9" s="12" t="str">
        <f aca="false">IFERROR(SUMIFS('Shopping Cidade'!$C:$C,'Shopping Cidade'!$A:$A,maxifs('Shopping Cidade'!$A:$A,'Shopping Cidade'!$B:$B,"Google PMax"),'Shopping Cidade'!$B:$B,"Google PMax"),"")</f>
        <v/>
      </c>
      <c r="E9" s="11" t="str">
        <f aca="false">IFERROR(SUMIFS('Shopping Cidade'!$J:$J,'Shopping Cidade'!$A:$A,maxifs('Shopping Cidade'!$A:$A,'Shopping Cidade'!$B:$B,"Google PMax"),'Shopping Cidade'!$B:$B,"Google PMax"),"")</f>
        <v/>
      </c>
      <c r="F9" s="8" t="str">
        <f aca="false">IFERROR(D9/E9,"")</f>
        <v/>
      </c>
      <c r="G9" s="8" t="str">
        <f aca="false">IFERROR(SUMIFS('Shopping Cidade'!$C:$C,'Shopping Cidade'!$A:$A,LARGE(IF('Shopping Cidade'!$B:$B="Google PMax",'Shopping Cidade'!$A:$A),2),'Shopping Cidade'!$B:$B,"Google PMax")/SUMIFS('Shopping Cidade'!$J:$J,'Shopping Cidade'!$A:$A,LARGE(IF('Shopping Cidade'!$B:$B="Google PMax",'Shopping Cidade'!$A:$A),2),'Shopping Cidade'!$B:$B,"Google PMax"),"")</f>
        <v/>
      </c>
      <c r="H9" s="9" t="str">
        <f aca="false">IFERROR((F9-G9)/G9,"")</f>
        <v/>
      </c>
      <c r="I9" s="6" t="str">
        <f aca="false">IFERROR(IF(H9="","--",IF(H9&lt;-0.05,"Melhorando",IF(H9&gt;0.05,"Piorando","Estavel"))),"--")</f>
        <v>--</v>
      </c>
      <c r="J9" s="12"/>
      <c r="K9" s="6" t="str">
        <f aca="false">IFERROR(IF(J9="","--",IF(F9&lt;=J9,"Dentro da meta","Acima da meta")),"--")</f>
        <v>--</v>
      </c>
    </row>
    <row r="10" customFormat="false" ht="27.75" hidden="false" customHeight="true" outlineLevel="0" collapsed="false">
      <c r="A10" s="4" t="s">
        <v>18</v>
      </c>
      <c r="B10" s="5" t="s">
        <v>14</v>
      </c>
      <c r="C10" s="6" t="str">
        <f aca="false">IFERROR(TEXT(maxifs('Autoshopping Linha Verde'!$A:$A,'Autoshopping Linha Verde'!$B:$B,"Meta Ads"),"DD/MM/YYYY"),"--")</f>
        <v>--</v>
      </c>
      <c r="D10" s="7" t="str">
        <f aca="false">IFERROR(SUMIFS('Autoshopping Linha Verde'!$C:$C,'Autoshopping Linha Verde'!$A:$A,maxifs('Autoshopping Linha Verde'!$A:$A,'Autoshopping Linha Verde'!$B:$B,"Meta Ads"),'Autoshopping Linha Verde'!$B:$B,"Meta Ads"),"")</f>
        <v/>
      </c>
      <c r="E10" s="5" t="str">
        <f aca="false">IFERROR(SUMIFS('Autoshopping Linha Verde'!$J:$J,'Autoshopping Linha Verde'!$A:$A,maxifs('Autoshopping Linha Verde'!$A:$A,'Autoshopping Linha Verde'!$B:$B,"Meta Ads"),'Autoshopping Linha Verde'!$B:$B,"Meta Ads"),"")</f>
        <v/>
      </c>
      <c r="F10" s="8" t="str">
        <f aca="false">IFERROR(D10/E10,"")</f>
        <v/>
      </c>
      <c r="G10" s="8" t="str">
        <f aca="false">IFERROR(SUMIFS('Autoshopping Linha Verde'!$C:$C,'Autoshopping Linha Verde'!$A:$A,LARGE(IF('Autoshopping Linha Verde'!$B:$B="Meta Ads",'Autoshopping Linha Verde'!$A:$A),2),'Autoshopping Linha Verde'!$B:$B,"Meta Ads")/SUMIFS('Autoshopping Linha Verde'!$J:$J,'Autoshopping Linha Verde'!$A:$A,LARGE(IF('Autoshopping Linha Verde'!$B:$B="Meta Ads",'Autoshopping Linha Verde'!$A:$A),2),'Autoshopping Linha Verde'!$B:$B,"Meta Ads"),"")</f>
        <v/>
      </c>
      <c r="H10" s="9" t="str">
        <f aca="false">IFERROR((F10-G10)/G10,"")</f>
        <v/>
      </c>
      <c r="I10" s="6" t="str">
        <f aca="false">IFERROR(IF(H10="","--",IF(H10&lt;-0.05,"Melhorando",IF(H10&gt;0.05,"Piorando","Estavel"))),"--")</f>
        <v>--</v>
      </c>
      <c r="J10" s="7"/>
      <c r="K10" s="6" t="str">
        <f aca="false">IFERROR(IF(J10="","--",IF(F10&lt;=J10,"Dentro da meta","Acima da meta")),"--")</f>
        <v>--</v>
      </c>
    </row>
    <row r="11" customFormat="false" ht="27.75" hidden="false" customHeight="true" outlineLevel="0" collapsed="false">
      <c r="A11" s="10" t="s">
        <v>18</v>
      </c>
      <c r="B11" s="11" t="s">
        <v>15</v>
      </c>
      <c r="C11" s="6" t="str">
        <f aca="false">IFERROR(TEXT(maxifs('Autoshopping Linha Verde'!$A:$A,'Autoshopping Linha Verde'!$B:$B,"Google Search"),"DD/MM/YYYY"),"--")</f>
        <v>--</v>
      </c>
      <c r="D11" s="12" t="str">
        <f aca="false">IFERROR(SUMIFS('Autoshopping Linha Verde'!$C:$C,'Autoshopping Linha Verde'!$A:$A,maxifs('Autoshopping Linha Verde'!$A:$A,'Autoshopping Linha Verde'!$B:$B,"Google Search"),'Autoshopping Linha Verde'!$B:$B,"Google Search"),"")</f>
        <v/>
      </c>
      <c r="E11" s="11" t="str">
        <f aca="false">IFERROR(SUMIFS('Autoshopping Linha Verde'!$J:$J,'Autoshopping Linha Verde'!$A:$A,maxifs('Autoshopping Linha Verde'!$A:$A,'Autoshopping Linha Verde'!$B:$B,"Google Search"),'Autoshopping Linha Verde'!$B:$B,"Google Search"),"")</f>
        <v/>
      </c>
      <c r="F11" s="8" t="str">
        <f aca="false">IFERROR(D11/E11,"")</f>
        <v/>
      </c>
      <c r="G11" s="8" t="str">
        <f aca="false">IFERROR(SUMIFS('Autoshopping Linha Verde'!$C:$C,'Autoshopping Linha Verde'!$A:$A,LARGE(IF('Autoshopping Linha Verde'!$B:$B="Google Search",'Autoshopping Linha Verde'!$A:$A),2),'Autoshopping Linha Verde'!$B:$B,"Google Search")/SUMIFS('Autoshopping Linha Verde'!$J:$J,'Autoshopping Linha Verde'!$A:$A,LARGE(IF('Autoshopping Linha Verde'!$B:$B="Google Search",'Autoshopping Linha Verde'!$A:$A),2),'Autoshopping Linha Verde'!$B:$B,"Google Search"),"")</f>
        <v/>
      </c>
      <c r="H11" s="9" t="str">
        <f aca="false">IFERROR((F11-G11)/G11,"")</f>
        <v/>
      </c>
      <c r="I11" s="6" t="str">
        <f aca="false">IFERROR(IF(H11="","--",IF(H11&lt;-0.05,"Melhorando",IF(H11&gt;0.05,"Piorando","Estavel"))),"--")</f>
        <v>--</v>
      </c>
      <c r="J11" s="12"/>
      <c r="K11" s="6" t="str">
        <f aca="false">IFERROR(IF(J11="","--",IF(F11&lt;=J11,"Dentro da meta","Acima da meta")),"--")</f>
        <v>--</v>
      </c>
    </row>
    <row r="12" customFormat="false" ht="27.75" hidden="false" customHeight="true" outlineLevel="0" collapsed="false">
      <c r="A12" s="4" t="s">
        <v>18</v>
      </c>
      <c r="B12" s="5" t="s">
        <v>16</v>
      </c>
      <c r="C12" s="6" t="str">
        <f aca="false">IFERROR(TEXT(maxifs('Autoshopping Linha Verde'!$A:$A,'Autoshopping Linha Verde'!$B:$B,"Google PMax"),"DD/MM/YYYY"),"--")</f>
        <v>--</v>
      </c>
      <c r="D12" s="7" t="str">
        <f aca="false">IFERROR(SUMIFS('Autoshopping Linha Verde'!$C:$C,'Autoshopping Linha Verde'!$A:$A,maxifs('Autoshopping Linha Verde'!$A:$A,'Autoshopping Linha Verde'!$B:$B,"Google PMax"),'Autoshopping Linha Verde'!$B:$B,"Google PMax"),"")</f>
        <v/>
      </c>
      <c r="E12" s="5" t="str">
        <f aca="false">IFERROR(SUMIFS('Autoshopping Linha Verde'!$J:$J,'Autoshopping Linha Verde'!$A:$A,maxifs('Autoshopping Linha Verde'!$A:$A,'Autoshopping Linha Verde'!$B:$B,"Google PMax"),'Autoshopping Linha Verde'!$B:$B,"Google PMax"),"")</f>
        <v/>
      </c>
      <c r="F12" s="8" t="str">
        <f aca="false">IFERROR(D12/E12,"")</f>
        <v/>
      </c>
      <c r="G12" s="8" t="str">
        <f aca="false">IFERROR(SUMIFS('Autoshopping Linha Verde'!$C:$C,'Autoshopping Linha Verde'!$A:$A,LARGE(IF('Autoshopping Linha Verde'!$B:$B="Google PMax",'Autoshopping Linha Verde'!$A:$A),2),'Autoshopping Linha Verde'!$B:$B,"Google PMax")/SUMIFS('Autoshopping Linha Verde'!$J:$J,'Autoshopping Linha Verde'!$A:$A,LARGE(IF('Autoshopping Linha Verde'!$B:$B="Google PMax",'Autoshopping Linha Verde'!$A:$A),2),'Autoshopping Linha Verde'!$B:$B,"Google PMax"),"")</f>
        <v/>
      </c>
      <c r="H12" s="9" t="str">
        <f aca="false">IFERROR((F12-G12)/G12,"")</f>
        <v/>
      </c>
      <c r="I12" s="6" t="str">
        <f aca="false">IFERROR(IF(H12="","--",IF(H12&lt;-0.05,"Melhorando",IF(H12&gt;0.05,"Piorando","Estavel"))),"--")</f>
        <v>--</v>
      </c>
      <c r="J12" s="7"/>
      <c r="K12" s="6" t="str">
        <f aca="false">IFERROR(IF(J12="","--",IF(F12&lt;=J12,"Dentro da meta","Acima da meta")),"--")</f>
        <v>--</v>
      </c>
    </row>
    <row r="13" customFormat="false" ht="27.75" hidden="false" customHeight="true" outlineLevel="0" collapsed="false">
      <c r="A13" s="10" t="s">
        <v>19</v>
      </c>
      <c r="B13" s="11" t="s">
        <v>14</v>
      </c>
      <c r="C13" s="6" t="str">
        <f aca="false">IFERROR(TEXT(maxifs('Make.it'!$A:$A,'Make.it'!$B:$B,"Meta Ads"),"DD/MM/YYYY"),"--")</f>
        <v>--</v>
      </c>
      <c r="D13" s="12" t="str">
        <f aca="false">IFERROR(SUMIFS('Make.it'!$C:$C,'Make.it'!$A:$A,maxifs('Make.it'!$A:$A,'Make.it'!$B:$B,"Meta Ads"),'Make.it'!$B:$B,"Meta Ads"),"")</f>
        <v/>
      </c>
      <c r="E13" s="11" t="str">
        <f aca="false">IFERROR(SUMIFS('Make.it'!$J:$J,'Make.it'!$A:$A,maxifs('Make.it'!$A:$A,'Make.it'!$B:$B,"Meta Ads"),'Make.it'!$B:$B,"Meta Ads"),"")</f>
        <v/>
      </c>
      <c r="F13" s="8" t="str">
        <f aca="false">IFERROR(D13/E13,"")</f>
        <v/>
      </c>
      <c r="G13" s="8" t="str">
        <f aca="false">IFERROR(SUMIFS('Make.it'!$C:$C,'Make.it'!$A:$A,LARGE(IF('Make.it'!$B:$B="Meta Ads",'Make.it'!$A:$A),2),'Make.it'!$B:$B,"Meta Ads")/SUMIFS('Make.it'!$J:$J,'Make.it'!$A:$A,LARGE(IF('Make.it'!$B:$B="Meta Ads",'Make.it'!$A:$A),2),'Make.it'!$B:$B,"Meta Ads"),"")</f>
        <v/>
      </c>
      <c r="H13" s="9" t="str">
        <f aca="false">IFERROR((F13-G13)/G13,"")</f>
        <v/>
      </c>
      <c r="I13" s="6" t="str">
        <f aca="false">IFERROR(IF(H13="","--",IF(H13&lt;-0.05,"Melhorando",IF(H13&gt;0.05,"Piorando","Estavel"))),"--")</f>
        <v>--</v>
      </c>
      <c r="J13" s="12"/>
      <c r="K13" s="6" t="str">
        <f aca="false">IFERROR(IF(J13="","--",IF(F13&lt;=J13,"Dentro da meta","Acima da meta")),"--")</f>
        <v>--</v>
      </c>
    </row>
    <row r="14" customFormat="false" ht="27.75" hidden="false" customHeight="true" outlineLevel="0" collapsed="false">
      <c r="A14" s="4" t="s">
        <v>19</v>
      </c>
      <c r="B14" s="5" t="s">
        <v>15</v>
      </c>
      <c r="C14" s="6" t="str">
        <f aca="false">IFERROR(TEXT(maxifs('Make.it'!$A:$A,'Make.it'!$B:$B,"Google Search"),"DD/MM/YYYY"),"--")</f>
        <v>--</v>
      </c>
      <c r="D14" s="7" t="str">
        <f aca="false">IFERROR(SUMIFS('Make.it'!$C:$C,'Make.it'!$A:$A,maxifs('Make.it'!$A:$A,'Make.it'!$B:$B,"Google Search"),'Make.it'!$B:$B,"Google Search"),"")</f>
        <v/>
      </c>
      <c r="E14" s="5" t="str">
        <f aca="false">IFERROR(SUMIFS('Make.it'!$J:$J,'Make.it'!$A:$A,maxifs('Make.it'!$A:$A,'Make.it'!$B:$B,"Google Search"),'Make.it'!$B:$B,"Google Search"),"")</f>
        <v/>
      </c>
      <c r="F14" s="8" t="str">
        <f aca="false">IFERROR(D14/E14,"")</f>
        <v/>
      </c>
      <c r="G14" s="8" t="str">
        <f aca="false">IFERROR(SUMIFS('Make.it'!$C:$C,'Make.it'!$A:$A,LARGE(IF('Make.it'!$B:$B="Google Search",'Make.it'!$A:$A),2),'Make.it'!$B:$B,"Google Search")/SUMIFS('Make.it'!$J:$J,'Make.it'!$A:$A,LARGE(IF('Make.it'!$B:$B="Google Search",'Make.it'!$A:$A),2),'Make.it'!$B:$B,"Google Search"),"")</f>
        <v/>
      </c>
      <c r="H14" s="9" t="str">
        <f aca="false">IFERROR((F14-G14)/G14,"")</f>
        <v/>
      </c>
      <c r="I14" s="6" t="str">
        <f aca="false">IFERROR(IF(H14="","--",IF(H14&lt;-0.05,"Melhorando",IF(H14&gt;0.05,"Piorando","Estavel"))),"--")</f>
        <v>--</v>
      </c>
      <c r="J14" s="7"/>
      <c r="K14" s="6" t="str">
        <f aca="false">IFERROR(IF(J14="","--",IF(F14&lt;=J14,"Dentro da meta","Acima da meta")),"--")</f>
        <v>--</v>
      </c>
    </row>
    <row r="15" customFormat="false" ht="27.75" hidden="false" customHeight="true" outlineLevel="0" collapsed="false">
      <c r="A15" s="10" t="s">
        <v>19</v>
      </c>
      <c r="B15" s="11" t="s">
        <v>16</v>
      </c>
      <c r="C15" s="6" t="str">
        <f aca="false">IFERROR(TEXT(maxifs('Make.it'!$A:$A,'Make.it'!$B:$B,"Google PMax"),"DD/MM/YYYY"),"--")</f>
        <v>--</v>
      </c>
      <c r="D15" s="12" t="str">
        <f aca="false">IFERROR(SUMIFS('Make.it'!$C:$C,'Make.it'!$A:$A,maxifs('Make.it'!$A:$A,'Make.it'!$B:$B,"Google PMax"),'Make.it'!$B:$B,"Google PMax"),"")</f>
        <v/>
      </c>
      <c r="E15" s="11" t="str">
        <f aca="false">IFERROR(SUMIFS('Make.it'!$J:$J,'Make.it'!$A:$A,maxifs('Make.it'!$A:$A,'Make.it'!$B:$B,"Google PMax"),'Make.it'!$B:$B,"Google PMax"),"")</f>
        <v/>
      </c>
      <c r="F15" s="8" t="str">
        <f aca="false">IFERROR(D15/E15,"")</f>
        <v/>
      </c>
      <c r="G15" s="8" t="str">
        <f aca="false">IFERROR(SUMIFS('Make.it'!$C:$C,'Make.it'!$A:$A,LARGE(IF('Make.it'!$B:$B="Google PMax",'Make.it'!$A:$A),2),'Make.it'!$B:$B,"Google PMax")/SUMIFS('Make.it'!$J:$J,'Make.it'!$A:$A,LARGE(IF('Make.it'!$B:$B="Google PMax",'Make.it'!$A:$A),2),'Make.it'!$B:$B,"Google PMax"),"")</f>
        <v/>
      </c>
      <c r="H15" s="9" t="str">
        <f aca="false">IFERROR((F15-G15)/G15,"")</f>
        <v/>
      </c>
      <c r="I15" s="6" t="str">
        <f aca="false">IFERROR(IF(H15="","--",IF(H15&lt;-0.05,"Melhorando",IF(H15&gt;0.05,"Piorando","Estavel"))),"--")</f>
        <v>--</v>
      </c>
      <c r="J15" s="12"/>
      <c r="K15" s="6" t="str">
        <f aca="false">IFERROR(IF(J15="","--",IF(F15&lt;=J15,"Dentro da meta","Acima da meta")),"--")</f>
        <v>--</v>
      </c>
    </row>
    <row r="16" customFormat="false" ht="27.75" hidden="false" customHeight="true" outlineLevel="0" collapsed="false">
      <c r="A16" s="4" t="s">
        <v>20</v>
      </c>
      <c r="B16" s="5" t="s">
        <v>14</v>
      </c>
      <c r="C16" s="6" t="str">
        <f aca="false">IFERROR(TEXT(maxifs(Gadens!$A:$A,Gadens!$B:$B,"Meta Ads"),"DD/MM/YYYY"),"--")</f>
        <v>--</v>
      </c>
      <c r="D16" s="7" t="str">
        <f aca="false">IFERROR(SUMIFS(Gadens!$C:$C,Gadens!$A:$A,maxifs(Gadens!$A:$A,Gadens!$B:$B,"Meta Ads"),Gadens!$B:$B,"Meta Ads"),"")</f>
        <v/>
      </c>
      <c r="E16" s="5" t="str">
        <f aca="false">IFERROR(SUMIFS(Gadens!$J:$J,Gadens!$A:$A,maxifs(Gadens!$A:$A,Gadens!$B:$B,"Meta Ads"),Gadens!$B:$B,"Meta Ads"),"")</f>
        <v/>
      </c>
      <c r="F16" s="8" t="str">
        <f aca="false">IFERROR(D16/E16,"")</f>
        <v/>
      </c>
      <c r="G16" s="8" t="str">
        <f aca="false">IFERROR(SUMIFS(Gadens!$C:$C,Gadens!$A:$A,LARGE(IF(Gadens!$B:$B="Meta Ads",Gadens!$A:$A),2),Gadens!$B:$B,"Meta Ads")/SUMIFS(Gadens!$J:$J,Gadens!$A:$A,LARGE(IF(Gadens!$B:$B="Meta Ads",Gadens!$A:$A),2),Gadens!$B:$B,"Meta Ads"),"")</f>
        <v/>
      </c>
      <c r="H16" s="9" t="str">
        <f aca="false">IFERROR((F16-G16)/G16,"")</f>
        <v/>
      </c>
      <c r="I16" s="6" t="str">
        <f aca="false">IFERROR(IF(H16="","--",IF(H16&lt;-0.05,"Melhorando",IF(H16&gt;0.05,"Piorando","Estavel"))),"--")</f>
        <v>--</v>
      </c>
      <c r="J16" s="7"/>
      <c r="K16" s="6" t="str">
        <f aca="false">IFERROR(IF(J16="","--",IF(F16&lt;=J16,"Dentro da meta","Acima da meta")),"--")</f>
        <v>--</v>
      </c>
    </row>
    <row r="17" customFormat="false" ht="27.75" hidden="false" customHeight="true" outlineLevel="0" collapsed="false">
      <c r="A17" s="10" t="s">
        <v>20</v>
      </c>
      <c r="B17" s="11" t="s">
        <v>15</v>
      </c>
      <c r="C17" s="6" t="str">
        <f aca="false">IFERROR(TEXT(maxifs(Gadens!$A:$A,Gadens!$B:$B,"Google Search"),"DD/MM/YYYY"),"--")</f>
        <v>--</v>
      </c>
      <c r="D17" s="12" t="str">
        <f aca="false">IFERROR(SUMIFS(Gadens!$C:$C,Gadens!$A:$A,maxifs(Gadens!$A:$A,Gadens!$B:$B,"Google Search"),Gadens!$B:$B,"Google Search"),"")</f>
        <v/>
      </c>
      <c r="E17" s="11" t="str">
        <f aca="false">IFERROR(SUMIFS(Gadens!$J:$J,Gadens!$A:$A,maxifs(Gadens!$A:$A,Gadens!$B:$B,"Google Search"),Gadens!$B:$B,"Google Search"),"")</f>
        <v/>
      </c>
      <c r="F17" s="8" t="str">
        <f aca="false">IFERROR(D17/E17,"")</f>
        <v/>
      </c>
      <c r="G17" s="8" t="str">
        <f aca="false">IFERROR(SUMIFS(Gadens!$C:$C,Gadens!$A:$A,LARGE(IF(Gadens!$B:$B="Google Search",Gadens!$A:$A),2),Gadens!$B:$B,"Google Search")/SUMIFS(Gadens!$J:$J,Gadens!$A:$A,LARGE(IF(Gadens!$B:$B="Google Search",Gadens!$A:$A),2),Gadens!$B:$B,"Google Search"),"")</f>
        <v/>
      </c>
      <c r="H17" s="9" t="str">
        <f aca="false">IFERROR((F17-G17)/G17,"")</f>
        <v/>
      </c>
      <c r="I17" s="6" t="str">
        <f aca="false">IFERROR(IF(H17="","--",IF(H17&lt;-0.05,"Melhorando",IF(H17&gt;0.05,"Piorando","Estavel"))),"--")</f>
        <v>--</v>
      </c>
      <c r="J17" s="12"/>
      <c r="K17" s="6" t="str">
        <f aca="false">IFERROR(IF(J17="","--",IF(F17&lt;=J17,"Dentro da meta","Acima da meta")),"--")</f>
        <v>--</v>
      </c>
    </row>
    <row r="18" customFormat="false" ht="27.75" hidden="false" customHeight="true" outlineLevel="0" collapsed="false">
      <c r="A18" s="4" t="s">
        <v>20</v>
      </c>
      <c r="B18" s="5" t="s">
        <v>16</v>
      </c>
      <c r="C18" s="6" t="str">
        <f aca="false">IFERROR(TEXT(maxifs(Gadens!$A:$A,Gadens!$B:$B,"Google PMax"),"DD/MM/YYYY"),"--")</f>
        <v>--</v>
      </c>
      <c r="D18" s="7" t="str">
        <f aca="false">IFERROR(SUMIFS(Gadens!$C:$C,Gadens!$A:$A,maxifs(Gadens!$A:$A,Gadens!$B:$B,"Google PMax"),Gadens!$B:$B,"Google PMax"),"")</f>
        <v/>
      </c>
      <c r="E18" s="5" t="str">
        <f aca="false">IFERROR(SUMIFS(Gadens!$J:$J,Gadens!$A:$A,maxifs(Gadens!$A:$A,Gadens!$B:$B,"Google PMax"),Gadens!$B:$B,"Google PMax"),"")</f>
        <v/>
      </c>
      <c r="F18" s="8" t="str">
        <f aca="false">IFERROR(D18/E18,"")</f>
        <v/>
      </c>
      <c r="G18" s="8" t="str">
        <f aca="false">IFERROR(SUMIFS(Gadens!$C:$C,Gadens!$A:$A,LARGE(IF(Gadens!$B:$B="Google PMax",Gadens!$A:$A),2),Gadens!$B:$B,"Google PMax")/SUMIFS(Gadens!$J:$J,Gadens!$A:$A,LARGE(IF(Gadens!$B:$B="Google PMax",Gadens!$A:$A),2),Gadens!$B:$B,"Google PMax"),"")</f>
        <v/>
      </c>
      <c r="H18" s="9" t="str">
        <f aca="false">IFERROR((F18-G18)/G18,"")</f>
        <v/>
      </c>
      <c r="I18" s="6" t="str">
        <f aca="false">IFERROR(IF(H18="","--",IF(H18&lt;-0.05,"Melhorando",IF(H18&gt;0.05,"Piorando","Estavel"))),"--")</f>
        <v>--</v>
      </c>
      <c r="J18" s="7"/>
      <c r="K18" s="6" t="str">
        <f aca="false">IFERROR(IF(J18="","--",IF(F18&lt;=J18,"Dentro da meta","Acima da meta")),"--")</f>
        <v>--</v>
      </c>
    </row>
  </sheetData>
  <mergeCells count="2">
    <mergeCell ref="A1:K1"/>
    <mergeCell ref="A2:K2"/>
  </mergeCells>
  <conditionalFormatting sqref="H4:H18">
    <cfRule type="expression" priority="2" aboveAverage="0" equalAverage="0" bottom="0" percent="0" rank="0" text="" dxfId="0">
      <formula>AND(H4&lt;&gt;"",H4&lt;-0.05)</formula>
    </cfRule>
    <cfRule type="expression" priority="3" aboveAverage="0" equalAverage="0" bottom="0" percent="0" rank="0" text="" dxfId="1">
      <formula>AND(H4&lt;&gt;"",H4&gt;0.05)</formula>
    </cfRule>
    <cfRule type="expression" priority="4" aboveAverage="0" equalAverage="0" bottom="0" percent="0" rank="0" text="" dxfId="2">
      <formula>AND(H4&lt;&gt;"",H4&gt;=-0.05,H4&lt;=0.05)</formula>
    </cfRule>
  </conditionalFormatting>
  <conditionalFormatting sqref="I4:I18">
    <cfRule type="expression" priority="5" aboveAverage="0" equalAverage="0" bottom="0" percent="0" rank="0" text="" dxfId="0">
      <formula>I4="Melhorando"</formula>
    </cfRule>
    <cfRule type="expression" priority="6" aboveAverage="0" equalAverage="0" bottom="0" percent="0" rank="0" text="" dxfId="1">
      <formula>I4="Piorando"</formula>
    </cfRule>
    <cfRule type="expression" priority="7" aboveAverage="0" equalAverage="0" bottom="0" percent="0" rank="0" text="" dxfId="2">
      <formula>I4="Estavel"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5" min="4" style="0" width="13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9" min="8" style="0" width="11"/>
    <col collapsed="false" customWidth="true" hidden="false" outlineLevel="0" max="10" min="10" style="0" width="13"/>
    <col collapsed="false" customWidth="true" hidden="false" outlineLevel="0" max="12" min="11" style="0" width="12"/>
    <col collapsed="false" customWidth="true" hidden="false" outlineLevel="0" max="13" min="13" style="0" width="9"/>
    <col collapsed="false" customWidth="true" hidden="false" outlineLevel="0" max="14" min="14" style="0" width="12"/>
    <col collapsed="false" customWidth="true" hidden="false" outlineLevel="0" max="15" min="15" style="0" width="34"/>
  </cols>
  <sheetData>
    <row r="1" customFormat="false" ht="37.5" hidden="false" customHeight="true" outlineLevel="0" collapsed="false">
      <c r="A1" s="1" t="s">
        <v>21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1.5" hidden="false" customHeight="true" outlineLevel="0" collapsed="false">
      <c r="A2" s="13" t="s">
        <v>22</v>
      </c>
      <c r="B2" s="13"/>
      <c r="C2" s="14"/>
      <c r="E2" s="13" t="s">
        <v>23</v>
      </c>
      <c r="F2" s="13"/>
      <c r="G2" s="14"/>
      <c r="H2" s="15" t="s">
        <v>24</v>
      </c>
      <c r="I2" s="15"/>
      <c r="J2" s="15"/>
      <c r="K2" s="15"/>
      <c r="L2" s="15"/>
      <c r="M2" s="15"/>
      <c r="N2" s="15"/>
      <c r="O2" s="15"/>
    </row>
    <row r="3" customFormat="false" ht="6" hidden="false" customHeight="true" outlineLevel="0" collapsed="false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customFormat="false" ht="48" hidden="false" customHeight="true" outlineLevel="0" collapsed="false">
      <c r="A4" s="3" t="s">
        <v>25</v>
      </c>
      <c r="B4" s="3" t="s">
        <v>3</v>
      </c>
      <c r="C4" s="3" t="s">
        <v>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31</v>
      </c>
      <c r="J4" s="3" t="s">
        <v>32</v>
      </c>
      <c r="K4" s="3" t="s">
        <v>7</v>
      </c>
      <c r="L4" s="3" t="s">
        <v>33</v>
      </c>
      <c r="M4" s="3" t="s">
        <v>34</v>
      </c>
      <c r="N4" s="3" t="s">
        <v>35</v>
      </c>
      <c r="O4" s="3" t="s">
        <v>36</v>
      </c>
    </row>
    <row r="5" customFormat="false" ht="21.75" hidden="false" customHeight="true" outlineLevel="0" collapsed="false">
      <c r="A5" s="17"/>
      <c r="B5" s="11"/>
      <c r="C5" s="12"/>
      <c r="D5" s="18"/>
      <c r="E5" s="18"/>
      <c r="F5" s="18"/>
      <c r="G5" s="19" t="str">
        <f aca="false">IFERROR(F5/D5,"")</f>
        <v/>
      </c>
      <c r="H5" s="20" t="str">
        <f aca="false">IFERROR(C5/F5,"")</f>
        <v/>
      </c>
      <c r="I5" s="20" t="str">
        <f aca="false">IFERROR(C5/D5*1000,"")</f>
        <v/>
      </c>
      <c r="J5" s="11"/>
      <c r="K5" s="20" t="str">
        <f aca="false">IFERROR(C5/J5,"")</f>
        <v/>
      </c>
      <c r="L5" s="19" t="str">
        <f aca="false">IFERROR(J5/F5,"")</f>
        <v/>
      </c>
      <c r="M5" s="11"/>
      <c r="N5" s="11"/>
      <c r="O5" s="21"/>
    </row>
    <row r="6" customFormat="false" ht="21.75" hidden="false" customHeight="true" outlineLevel="0" collapsed="false">
      <c r="A6" s="22"/>
      <c r="B6" s="5"/>
      <c r="C6" s="7"/>
      <c r="D6" s="23"/>
      <c r="E6" s="23"/>
      <c r="F6" s="23"/>
      <c r="G6" s="19" t="str">
        <f aca="false">IFERROR(F6/D6,"")</f>
        <v/>
      </c>
      <c r="H6" s="20" t="str">
        <f aca="false">IFERROR(C6/F6,"")</f>
        <v/>
      </c>
      <c r="I6" s="20" t="str">
        <f aca="false">IFERROR(C6/D6*1000,"")</f>
        <v/>
      </c>
      <c r="J6" s="5"/>
      <c r="K6" s="20" t="str">
        <f aca="false">IFERROR(C6/J6,"")</f>
        <v/>
      </c>
      <c r="L6" s="19" t="str">
        <f aca="false">IFERROR(J6/F6,"")</f>
        <v/>
      </c>
      <c r="M6" s="5"/>
      <c r="N6" s="5"/>
      <c r="O6" s="24"/>
    </row>
    <row r="7" customFormat="false" ht="21.75" hidden="false" customHeight="true" outlineLevel="0" collapsed="false">
      <c r="A7" s="17"/>
      <c r="B7" s="11"/>
      <c r="C7" s="12"/>
      <c r="D7" s="18"/>
      <c r="E7" s="18"/>
      <c r="F7" s="18"/>
      <c r="G7" s="19" t="str">
        <f aca="false">IFERROR(F7/D7,"")</f>
        <v/>
      </c>
      <c r="H7" s="20" t="str">
        <f aca="false">IFERROR(C7/F7,"")</f>
        <v/>
      </c>
      <c r="I7" s="20" t="str">
        <f aca="false">IFERROR(C7/D7*1000,"")</f>
        <v/>
      </c>
      <c r="J7" s="11"/>
      <c r="K7" s="20" t="str">
        <f aca="false">IFERROR(C7/J7,"")</f>
        <v/>
      </c>
      <c r="L7" s="19" t="str">
        <f aca="false">IFERROR(J7/F7,"")</f>
        <v/>
      </c>
      <c r="M7" s="11"/>
      <c r="N7" s="11"/>
      <c r="O7" s="21"/>
    </row>
    <row r="8" customFormat="false" ht="21.75" hidden="false" customHeight="true" outlineLevel="0" collapsed="false">
      <c r="A8" s="22"/>
      <c r="B8" s="5"/>
      <c r="C8" s="7"/>
      <c r="D8" s="23"/>
      <c r="E8" s="23"/>
      <c r="F8" s="23"/>
      <c r="G8" s="19" t="str">
        <f aca="false">IFERROR(F8/D8,"")</f>
        <v/>
      </c>
      <c r="H8" s="20" t="str">
        <f aca="false">IFERROR(C8/F8,"")</f>
        <v/>
      </c>
      <c r="I8" s="20" t="str">
        <f aca="false">IFERROR(C8/D8*1000,"")</f>
        <v/>
      </c>
      <c r="J8" s="5"/>
      <c r="K8" s="20" t="str">
        <f aca="false">IFERROR(C8/J8,"")</f>
        <v/>
      </c>
      <c r="L8" s="19" t="str">
        <f aca="false">IFERROR(J8/F8,"")</f>
        <v/>
      </c>
      <c r="M8" s="5"/>
      <c r="N8" s="5"/>
      <c r="O8" s="24"/>
    </row>
    <row r="9" customFormat="false" ht="21.75" hidden="false" customHeight="true" outlineLevel="0" collapsed="false">
      <c r="A9" s="17"/>
      <c r="B9" s="11"/>
      <c r="C9" s="12"/>
      <c r="D9" s="18"/>
      <c r="E9" s="18"/>
      <c r="F9" s="18"/>
      <c r="G9" s="19" t="str">
        <f aca="false">IFERROR(F9/D9,"")</f>
        <v/>
      </c>
      <c r="H9" s="20" t="str">
        <f aca="false">IFERROR(C9/F9,"")</f>
        <v/>
      </c>
      <c r="I9" s="20" t="str">
        <f aca="false">IFERROR(C9/D9*1000,"")</f>
        <v/>
      </c>
      <c r="J9" s="11"/>
      <c r="K9" s="20" t="str">
        <f aca="false">IFERROR(C9/J9,"")</f>
        <v/>
      </c>
      <c r="L9" s="19" t="str">
        <f aca="false">IFERROR(J9/F9,"")</f>
        <v/>
      </c>
      <c r="M9" s="11"/>
      <c r="N9" s="11"/>
      <c r="O9" s="21"/>
    </row>
    <row r="10" customFormat="false" ht="21.75" hidden="false" customHeight="true" outlineLevel="0" collapsed="false">
      <c r="A10" s="22"/>
      <c r="B10" s="5"/>
      <c r="C10" s="7"/>
      <c r="D10" s="23"/>
      <c r="E10" s="23"/>
      <c r="F10" s="23"/>
      <c r="G10" s="19" t="str">
        <f aca="false">IFERROR(F10/D10,"")</f>
        <v/>
      </c>
      <c r="H10" s="20" t="str">
        <f aca="false">IFERROR(C10/F10,"")</f>
        <v/>
      </c>
      <c r="I10" s="20" t="str">
        <f aca="false">IFERROR(C10/D10*1000,"")</f>
        <v/>
      </c>
      <c r="J10" s="5"/>
      <c r="K10" s="20" t="str">
        <f aca="false">IFERROR(C10/J10,"")</f>
        <v/>
      </c>
      <c r="L10" s="19" t="str">
        <f aca="false">IFERROR(J10/F10,"")</f>
        <v/>
      </c>
      <c r="M10" s="5"/>
      <c r="N10" s="5"/>
      <c r="O10" s="24"/>
    </row>
    <row r="11" customFormat="false" ht="21.75" hidden="false" customHeight="true" outlineLevel="0" collapsed="false">
      <c r="A11" s="17"/>
      <c r="B11" s="11"/>
      <c r="C11" s="12"/>
      <c r="D11" s="18"/>
      <c r="E11" s="18"/>
      <c r="F11" s="18"/>
      <c r="G11" s="19" t="str">
        <f aca="false">IFERROR(F11/D11,"")</f>
        <v/>
      </c>
      <c r="H11" s="20" t="str">
        <f aca="false">IFERROR(C11/F11,"")</f>
        <v/>
      </c>
      <c r="I11" s="20" t="str">
        <f aca="false">IFERROR(C11/D11*1000,"")</f>
        <v/>
      </c>
      <c r="J11" s="11"/>
      <c r="K11" s="20" t="str">
        <f aca="false">IFERROR(C11/J11,"")</f>
        <v/>
      </c>
      <c r="L11" s="19" t="str">
        <f aca="false">IFERROR(J11/F11,"")</f>
        <v/>
      </c>
      <c r="M11" s="11"/>
      <c r="N11" s="11"/>
      <c r="O11" s="21"/>
    </row>
    <row r="12" customFormat="false" ht="21.75" hidden="false" customHeight="true" outlineLevel="0" collapsed="false">
      <c r="A12" s="22"/>
      <c r="B12" s="5"/>
      <c r="C12" s="7"/>
      <c r="D12" s="23"/>
      <c r="E12" s="23"/>
      <c r="F12" s="23"/>
      <c r="G12" s="19" t="str">
        <f aca="false">IFERROR(F12/D12,"")</f>
        <v/>
      </c>
      <c r="H12" s="20" t="str">
        <f aca="false">IFERROR(C12/F12,"")</f>
        <v/>
      </c>
      <c r="I12" s="20" t="str">
        <f aca="false">IFERROR(C12/D12*1000,"")</f>
        <v/>
      </c>
      <c r="J12" s="5"/>
      <c r="K12" s="20" t="str">
        <f aca="false">IFERROR(C12/J12,"")</f>
        <v/>
      </c>
      <c r="L12" s="19" t="str">
        <f aca="false">IFERROR(J12/F12,"")</f>
        <v/>
      </c>
      <c r="M12" s="5"/>
      <c r="N12" s="5"/>
      <c r="O12" s="24"/>
    </row>
    <row r="13" customFormat="false" ht="21.75" hidden="false" customHeight="true" outlineLevel="0" collapsed="false">
      <c r="A13" s="17"/>
      <c r="B13" s="11"/>
      <c r="C13" s="12"/>
      <c r="D13" s="18"/>
      <c r="E13" s="18"/>
      <c r="F13" s="18"/>
      <c r="G13" s="19" t="str">
        <f aca="false">IFERROR(F13/D13,"")</f>
        <v/>
      </c>
      <c r="H13" s="20" t="str">
        <f aca="false">IFERROR(C13/F13,"")</f>
        <v/>
      </c>
      <c r="I13" s="20" t="str">
        <f aca="false">IFERROR(C13/D13*1000,"")</f>
        <v/>
      </c>
      <c r="J13" s="11"/>
      <c r="K13" s="20" t="str">
        <f aca="false">IFERROR(C13/J13,"")</f>
        <v/>
      </c>
      <c r="L13" s="19" t="str">
        <f aca="false">IFERROR(J13/F13,"")</f>
        <v/>
      </c>
      <c r="M13" s="11"/>
      <c r="N13" s="11"/>
      <c r="O13" s="21"/>
    </row>
    <row r="14" customFormat="false" ht="21.75" hidden="false" customHeight="true" outlineLevel="0" collapsed="false">
      <c r="A14" s="22"/>
      <c r="B14" s="5"/>
      <c r="C14" s="7"/>
      <c r="D14" s="23"/>
      <c r="E14" s="23"/>
      <c r="F14" s="23"/>
      <c r="G14" s="19" t="str">
        <f aca="false">IFERROR(F14/D14,"")</f>
        <v/>
      </c>
      <c r="H14" s="20" t="str">
        <f aca="false">IFERROR(C14/F14,"")</f>
        <v/>
      </c>
      <c r="I14" s="20" t="str">
        <f aca="false">IFERROR(C14/D14*1000,"")</f>
        <v/>
      </c>
      <c r="J14" s="5"/>
      <c r="K14" s="20" t="str">
        <f aca="false">IFERROR(C14/J14,"")</f>
        <v/>
      </c>
      <c r="L14" s="19" t="str">
        <f aca="false">IFERROR(J14/F14,"")</f>
        <v/>
      </c>
      <c r="M14" s="5"/>
      <c r="N14" s="5"/>
      <c r="O14" s="24"/>
    </row>
    <row r="15" customFormat="false" ht="21.75" hidden="false" customHeight="true" outlineLevel="0" collapsed="false">
      <c r="A15" s="17"/>
      <c r="B15" s="11"/>
      <c r="C15" s="12"/>
      <c r="D15" s="18"/>
      <c r="E15" s="18"/>
      <c r="F15" s="18"/>
      <c r="G15" s="19" t="str">
        <f aca="false">IFERROR(F15/D15,"")</f>
        <v/>
      </c>
      <c r="H15" s="20" t="str">
        <f aca="false">IFERROR(C15/F15,"")</f>
        <v/>
      </c>
      <c r="I15" s="20" t="str">
        <f aca="false">IFERROR(C15/D15*1000,"")</f>
        <v/>
      </c>
      <c r="J15" s="11"/>
      <c r="K15" s="20" t="str">
        <f aca="false">IFERROR(C15/J15,"")</f>
        <v/>
      </c>
      <c r="L15" s="19" t="str">
        <f aca="false">IFERROR(J15/F15,"")</f>
        <v/>
      </c>
      <c r="M15" s="11"/>
      <c r="N15" s="11"/>
      <c r="O15" s="21"/>
    </row>
    <row r="16" customFormat="false" ht="21.75" hidden="false" customHeight="true" outlineLevel="0" collapsed="false">
      <c r="A16" s="22"/>
      <c r="B16" s="5"/>
      <c r="C16" s="7"/>
      <c r="D16" s="23"/>
      <c r="E16" s="23"/>
      <c r="F16" s="23"/>
      <c r="G16" s="19" t="str">
        <f aca="false">IFERROR(F16/D16,"")</f>
        <v/>
      </c>
      <c r="H16" s="20" t="str">
        <f aca="false">IFERROR(C16/F16,"")</f>
        <v/>
      </c>
      <c r="I16" s="20" t="str">
        <f aca="false">IFERROR(C16/D16*1000,"")</f>
        <v/>
      </c>
      <c r="J16" s="5"/>
      <c r="K16" s="20" t="str">
        <f aca="false">IFERROR(C16/J16,"")</f>
        <v/>
      </c>
      <c r="L16" s="19" t="str">
        <f aca="false">IFERROR(J16/F16,"")</f>
        <v/>
      </c>
      <c r="M16" s="5"/>
      <c r="N16" s="5"/>
      <c r="O16" s="24"/>
    </row>
    <row r="17" customFormat="false" ht="21.75" hidden="false" customHeight="true" outlineLevel="0" collapsed="false">
      <c r="A17" s="17"/>
      <c r="B17" s="11"/>
      <c r="C17" s="12"/>
      <c r="D17" s="18"/>
      <c r="E17" s="18"/>
      <c r="F17" s="18"/>
      <c r="G17" s="19" t="str">
        <f aca="false">IFERROR(F17/D17,"")</f>
        <v/>
      </c>
      <c r="H17" s="20" t="str">
        <f aca="false">IFERROR(C17/F17,"")</f>
        <v/>
      </c>
      <c r="I17" s="20" t="str">
        <f aca="false">IFERROR(C17/D17*1000,"")</f>
        <v/>
      </c>
      <c r="J17" s="11"/>
      <c r="K17" s="20" t="str">
        <f aca="false">IFERROR(C17/J17,"")</f>
        <v/>
      </c>
      <c r="L17" s="19" t="str">
        <f aca="false">IFERROR(J17/F17,"")</f>
        <v/>
      </c>
      <c r="M17" s="11"/>
      <c r="N17" s="11"/>
      <c r="O17" s="21"/>
    </row>
    <row r="18" customFormat="false" ht="21.75" hidden="false" customHeight="true" outlineLevel="0" collapsed="false">
      <c r="A18" s="22"/>
      <c r="B18" s="5"/>
      <c r="C18" s="7"/>
      <c r="D18" s="23"/>
      <c r="E18" s="23"/>
      <c r="F18" s="23"/>
      <c r="G18" s="19" t="str">
        <f aca="false">IFERROR(F18/D18,"")</f>
        <v/>
      </c>
      <c r="H18" s="20" t="str">
        <f aca="false">IFERROR(C18/F18,"")</f>
        <v/>
      </c>
      <c r="I18" s="20" t="str">
        <f aca="false">IFERROR(C18/D18*1000,"")</f>
        <v/>
      </c>
      <c r="J18" s="5"/>
      <c r="K18" s="20" t="str">
        <f aca="false">IFERROR(C18/J18,"")</f>
        <v/>
      </c>
      <c r="L18" s="19" t="str">
        <f aca="false">IFERROR(J18/F18,"")</f>
        <v/>
      </c>
      <c r="M18" s="5"/>
      <c r="N18" s="5"/>
      <c r="O18" s="24"/>
    </row>
    <row r="19" customFormat="false" ht="21.75" hidden="false" customHeight="true" outlineLevel="0" collapsed="false">
      <c r="A19" s="17"/>
      <c r="B19" s="11"/>
      <c r="C19" s="12"/>
      <c r="D19" s="18"/>
      <c r="E19" s="18"/>
      <c r="F19" s="18"/>
      <c r="G19" s="19" t="str">
        <f aca="false">IFERROR(F19/D19,"")</f>
        <v/>
      </c>
      <c r="H19" s="20" t="str">
        <f aca="false">IFERROR(C19/F19,"")</f>
        <v/>
      </c>
      <c r="I19" s="20" t="str">
        <f aca="false">IFERROR(C19/D19*1000,"")</f>
        <v/>
      </c>
      <c r="J19" s="11"/>
      <c r="K19" s="20" t="str">
        <f aca="false">IFERROR(C19/J19,"")</f>
        <v/>
      </c>
      <c r="L19" s="19" t="str">
        <f aca="false">IFERROR(J19/F19,"")</f>
        <v/>
      </c>
      <c r="M19" s="11"/>
      <c r="N19" s="11"/>
      <c r="O19" s="21"/>
    </row>
    <row r="20" customFormat="false" ht="21.75" hidden="false" customHeight="true" outlineLevel="0" collapsed="false">
      <c r="A20" s="22"/>
      <c r="B20" s="5"/>
      <c r="C20" s="7"/>
      <c r="D20" s="23"/>
      <c r="E20" s="23"/>
      <c r="F20" s="23"/>
      <c r="G20" s="19" t="str">
        <f aca="false">IFERROR(F20/D20,"")</f>
        <v/>
      </c>
      <c r="H20" s="20" t="str">
        <f aca="false">IFERROR(C20/F20,"")</f>
        <v/>
      </c>
      <c r="I20" s="20" t="str">
        <f aca="false">IFERROR(C20/D20*1000,"")</f>
        <v/>
      </c>
      <c r="J20" s="5"/>
      <c r="K20" s="20" t="str">
        <f aca="false">IFERROR(C20/J20,"")</f>
        <v/>
      </c>
      <c r="L20" s="19" t="str">
        <f aca="false">IFERROR(J20/F20,"")</f>
        <v/>
      </c>
      <c r="M20" s="5"/>
      <c r="N20" s="5"/>
      <c r="O20" s="24"/>
    </row>
    <row r="21" customFormat="false" ht="21.75" hidden="false" customHeight="true" outlineLevel="0" collapsed="false">
      <c r="A21" s="17"/>
      <c r="B21" s="11"/>
      <c r="C21" s="12"/>
      <c r="D21" s="18"/>
      <c r="E21" s="18"/>
      <c r="F21" s="18"/>
      <c r="G21" s="19" t="str">
        <f aca="false">IFERROR(F21/D21,"")</f>
        <v/>
      </c>
      <c r="H21" s="20" t="str">
        <f aca="false">IFERROR(C21/F21,"")</f>
        <v/>
      </c>
      <c r="I21" s="20" t="str">
        <f aca="false">IFERROR(C21/D21*1000,"")</f>
        <v/>
      </c>
      <c r="J21" s="11"/>
      <c r="K21" s="20" t="str">
        <f aca="false">IFERROR(C21/J21,"")</f>
        <v/>
      </c>
      <c r="L21" s="19" t="str">
        <f aca="false">IFERROR(J21/F21,"")</f>
        <v/>
      </c>
      <c r="M21" s="11"/>
      <c r="N21" s="11"/>
      <c r="O21" s="21"/>
    </row>
    <row r="22" customFormat="false" ht="21.75" hidden="false" customHeight="true" outlineLevel="0" collapsed="false">
      <c r="A22" s="22"/>
      <c r="B22" s="5"/>
      <c r="C22" s="7"/>
      <c r="D22" s="23"/>
      <c r="E22" s="23"/>
      <c r="F22" s="23"/>
      <c r="G22" s="19" t="str">
        <f aca="false">IFERROR(F22/D22,"")</f>
        <v/>
      </c>
      <c r="H22" s="20" t="str">
        <f aca="false">IFERROR(C22/F22,"")</f>
        <v/>
      </c>
      <c r="I22" s="20" t="str">
        <f aca="false">IFERROR(C22/D22*1000,"")</f>
        <v/>
      </c>
      <c r="J22" s="5"/>
      <c r="K22" s="20" t="str">
        <f aca="false">IFERROR(C22/J22,"")</f>
        <v/>
      </c>
      <c r="L22" s="19" t="str">
        <f aca="false">IFERROR(J22/F22,"")</f>
        <v/>
      </c>
      <c r="M22" s="5"/>
      <c r="N22" s="5"/>
      <c r="O22" s="24"/>
    </row>
    <row r="23" customFormat="false" ht="21.75" hidden="false" customHeight="true" outlineLevel="0" collapsed="false">
      <c r="A23" s="17"/>
      <c r="B23" s="11"/>
      <c r="C23" s="12"/>
      <c r="D23" s="18"/>
      <c r="E23" s="18"/>
      <c r="F23" s="18"/>
      <c r="G23" s="19" t="str">
        <f aca="false">IFERROR(F23/D23,"")</f>
        <v/>
      </c>
      <c r="H23" s="20" t="str">
        <f aca="false">IFERROR(C23/F23,"")</f>
        <v/>
      </c>
      <c r="I23" s="20" t="str">
        <f aca="false">IFERROR(C23/D23*1000,"")</f>
        <v/>
      </c>
      <c r="J23" s="11"/>
      <c r="K23" s="20" t="str">
        <f aca="false">IFERROR(C23/J23,"")</f>
        <v/>
      </c>
      <c r="L23" s="19" t="str">
        <f aca="false">IFERROR(J23/F23,"")</f>
        <v/>
      </c>
      <c r="M23" s="11"/>
      <c r="N23" s="11"/>
      <c r="O23" s="21"/>
    </row>
    <row r="24" customFormat="false" ht="21.75" hidden="false" customHeight="true" outlineLevel="0" collapsed="false">
      <c r="A24" s="22"/>
      <c r="B24" s="5"/>
      <c r="C24" s="7"/>
      <c r="D24" s="23"/>
      <c r="E24" s="23"/>
      <c r="F24" s="23"/>
      <c r="G24" s="19" t="str">
        <f aca="false">IFERROR(F24/D24,"")</f>
        <v/>
      </c>
      <c r="H24" s="20" t="str">
        <f aca="false">IFERROR(C24/F24,"")</f>
        <v/>
      </c>
      <c r="I24" s="20" t="str">
        <f aca="false">IFERROR(C24/D24*1000,"")</f>
        <v/>
      </c>
      <c r="J24" s="5"/>
      <c r="K24" s="20" t="str">
        <f aca="false">IFERROR(C24/J24,"")</f>
        <v/>
      </c>
      <c r="L24" s="19" t="str">
        <f aca="false">IFERROR(J24/F24,"")</f>
        <v/>
      </c>
      <c r="M24" s="5"/>
      <c r="N24" s="5"/>
      <c r="O24" s="24"/>
    </row>
    <row r="25" customFormat="false" ht="21.75" hidden="false" customHeight="true" outlineLevel="0" collapsed="false">
      <c r="A25" s="17"/>
      <c r="B25" s="11"/>
      <c r="C25" s="12"/>
      <c r="D25" s="18"/>
      <c r="E25" s="18"/>
      <c r="F25" s="18"/>
      <c r="G25" s="19" t="str">
        <f aca="false">IFERROR(F25/D25,"")</f>
        <v/>
      </c>
      <c r="H25" s="20" t="str">
        <f aca="false">IFERROR(C25/F25,"")</f>
        <v/>
      </c>
      <c r="I25" s="20" t="str">
        <f aca="false">IFERROR(C25/D25*1000,"")</f>
        <v/>
      </c>
      <c r="J25" s="11"/>
      <c r="K25" s="20" t="str">
        <f aca="false">IFERROR(C25/J25,"")</f>
        <v/>
      </c>
      <c r="L25" s="19" t="str">
        <f aca="false">IFERROR(J25/F25,"")</f>
        <v/>
      </c>
      <c r="M25" s="11"/>
      <c r="N25" s="11"/>
      <c r="O25" s="21"/>
    </row>
    <row r="26" customFormat="false" ht="21.75" hidden="false" customHeight="true" outlineLevel="0" collapsed="false">
      <c r="A26" s="22"/>
      <c r="B26" s="5"/>
      <c r="C26" s="7"/>
      <c r="D26" s="23"/>
      <c r="E26" s="23"/>
      <c r="F26" s="23"/>
      <c r="G26" s="19" t="str">
        <f aca="false">IFERROR(F26/D26,"")</f>
        <v/>
      </c>
      <c r="H26" s="20" t="str">
        <f aca="false">IFERROR(C26/F26,"")</f>
        <v/>
      </c>
      <c r="I26" s="20" t="str">
        <f aca="false">IFERROR(C26/D26*1000,"")</f>
        <v/>
      </c>
      <c r="J26" s="5"/>
      <c r="K26" s="20" t="str">
        <f aca="false">IFERROR(C26/J26,"")</f>
        <v/>
      </c>
      <c r="L26" s="19" t="str">
        <f aca="false">IFERROR(J26/F26,"")</f>
        <v/>
      </c>
      <c r="M26" s="5"/>
      <c r="N26" s="5"/>
      <c r="O26" s="24"/>
    </row>
    <row r="27" customFormat="false" ht="21.75" hidden="false" customHeight="true" outlineLevel="0" collapsed="false">
      <c r="A27" s="17"/>
      <c r="B27" s="11"/>
      <c r="C27" s="12"/>
      <c r="D27" s="18"/>
      <c r="E27" s="18"/>
      <c r="F27" s="18"/>
      <c r="G27" s="19" t="str">
        <f aca="false">IFERROR(F27/D27,"")</f>
        <v/>
      </c>
      <c r="H27" s="20" t="str">
        <f aca="false">IFERROR(C27/F27,"")</f>
        <v/>
      </c>
      <c r="I27" s="20" t="str">
        <f aca="false">IFERROR(C27/D27*1000,"")</f>
        <v/>
      </c>
      <c r="J27" s="11"/>
      <c r="K27" s="20" t="str">
        <f aca="false">IFERROR(C27/J27,"")</f>
        <v/>
      </c>
      <c r="L27" s="19" t="str">
        <f aca="false">IFERROR(J27/F27,"")</f>
        <v/>
      </c>
      <c r="M27" s="11"/>
      <c r="N27" s="11"/>
      <c r="O27" s="21"/>
    </row>
    <row r="28" customFormat="false" ht="21.75" hidden="false" customHeight="true" outlineLevel="0" collapsed="false">
      <c r="A28" s="22"/>
      <c r="B28" s="5"/>
      <c r="C28" s="7"/>
      <c r="D28" s="23"/>
      <c r="E28" s="23"/>
      <c r="F28" s="23"/>
      <c r="G28" s="19" t="str">
        <f aca="false">IFERROR(F28/D28,"")</f>
        <v/>
      </c>
      <c r="H28" s="20" t="str">
        <f aca="false">IFERROR(C28/F28,"")</f>
        <v/>
      </c>
      <c r="I28" s="20" t="str">
        <f aca="false">IFERROR(C28/D28*1000,"")</f>
        <v/>
      </c>
      <c r="J28" s="5"/>
      <c r="K28" s="20" t="str">
        <f aca="false">IFERROR(C28/J28,"")</f>
        <v/>
      </c>
      <c r="L28" s="19" t="str">
        <f aca="false">IFERROR(J28/F28,"")</f>
        <v/>
      </c>
      <c r="M28" s="5"/>
      <c r="N28" s="5"/>
      <c r="O28" s="24"/>
    </row>
    <row r="29" customFormat="false" ht="21.75" hidden="false" customHeight="true" outlineLevel="0" collapsed="false">
      <c r="A29" s="17"/>
      <c r="B29" s="11"/>
      <c r="C29" s="12"/>
      <c r="D29" s="18"/>
      <c r="E29" s="18"/>
      <c r="F29" s="18"/>
      <c r="G29" s="19" t="str">
        <f aca="false">IFERROR(F29/D29,"")</f>
        <v/>
      </c>
      <c r="H29" s="20" t="str">
        <f aca="false">IFERROR(C29/F29,"")</f>
        <v/>
      </c>
      <c r="I29" s="20" t="str">
        <f aca="false">IFERROR(C29/D29*1000,"")</f>
        <v/>
      </c>
      <c r="J29" s="11"/>
      <c r="K29" s="20" t="str">
        <f aca="false">IFERROR(C29/J29,"")</f>
        <v/>
      </c>
      <c r="L29" s="19" t="str">
        <f aca="false">IFERROR(J29/F29,"")</f>
        <v/>
      </c>
      <c r="M29" s="11"/>
      <c r="N29" s="11"/>
      <c r="O29" s="21"/>
    </row>
    <row r="30" customFormat="false" ht="21.75" hidden="false" customHeight="true" outlineLevel="0" collapsed="false">
      <c r="A30" s="22"/>
      <c r="B30" s="5"/>
      <c r="C30" s="7"/>
      <c r="D30" s="23"/>
      <c r="E30" s="23"/>
      <c r="F30" s="23"/>
      <c r="G30" s="19" t="str">
        <f aca="false">IFERROR(F30/D30,"")</f>
        <v/>
      </c>
      <c r="H30" s="20" t="str">
        <f aca="false">IFERROR(C30/F30,"")</f>
        <v/>
      </c>
      <c r="I30" s="20" t="str">
        <f aca="false">IFERROR(C30/D30*1000,"")</f>
        <v/>
      </c>
      <c r="J30" s="5"/>
      <c r="K30" s="20" t="str">
        <f aca="false">IFERROR(C30/J30,"")</f>
        <v/>
      </c>
      <c r="L30" s="19" t="str">
        <f aca="false">IFERROR(J30/F30,"")</f>
        <v/>
      </c>
      <c r="M30" s="5"/>
      <c r="N30" s="5"/>
      <c r="O30" s="24"/>
    </row>
    <row r="31" customFormat="false" ht="21.75" hidden="false" customHeight="true" outlineLevel="0" collapsed="false">
      <c r="A31" s="17"/>
      <c r="B31" s="11"/>
      <c r="C31" s="12"/>
      <c r="D31" s="18"/>
      <c r="E31" s="18"/>
      <c r="F31" s="18"/>
      <c r="G31" s="19" t="str">
        <f aca="false">IFERROR(F31/D31,"")</f>
        <v/>
      </c>
      <c r="H31" s="20" t="str">
        <f aca="false">IFERROR(C31/F31,"")</f>
        <v/>
      </c>
      <c r="I31" s="20" t="str">
        <f aca="false">IFERROR(C31/D31*1000,"")</f>
        <v/>
      </c>
      <c r="J31" s="11"/>
      <c r="K31" s="20" t="str">
        <f aca="false">IFERROR(C31/J31,"")</f>
        <v/>
      </c>
      <c r="L31" s="19" t="str">
        <f aca="false">IFERROR(J31/F31,"")</f>
        <v/>
      </c>
      <c r="M31" s="11"/>
      <c r="N31" s="11"/>
      <c r="O31" s="21"/>
    </row>
    <row r="32" customFormat="false" ht="21.75" hidden="false" customHeight="true" outlineLevel="0" collapsed="false">
      <c r="A32" s="22"/>
      <c r="B32" s="5"/>
      <c r="C32" s="7"/>
      <c r="D32" s="23"/>
      <c r="E32" s="23"/>
      <c r="F32" s="23"/>
      <c r="G32" s="19" t="str">
        <f aca="false">IFERROR(F32/D32,"")</f>
        <v/>
      </c>
      <c r="H32" s="20" t="str">
        <f aca="false">IFERROR(C32/F32,"")</f>
        <v/>
      </c>
      <c r="I32" s="20" t="str">
        <f aca="false">IFERROR(C32/D32*1000,"")</f>
        <v/>
      </c>
      <c r="J32" s="5"/>
      <c r="K32" s="20" t="str">
        <f aca="false">IFERROR(C32/J32,"")</f>
        <v/>
      </c>
      <c r="L32" s="19" t="str">
        <f aca="false">IFERROR(J32/F32,"")</f>
        <v/>
      </c>
      <c r="M32" s="5"/>
      <c r="N32" s="5"/>
      <c r="O32" s="24"/>
    </row>
    <row r="33" customFormat="false" ht="21.75" hidden="false" customHeight="true" outlineLevel="0" collapsed="false">
      <c r="A33" s="17"/>
      <c r="B33" s="11"/>
      <c r="C33" s="12"/>
      <c r="D33" s="18"/>
      <c r="E33" s="18"/>
      <c r="F33" s="18"/>
      <c r="G33" s="19" t="str">
        <f aca="false">IFERROR(F33/D33,"")</f>
        <v/>
      </c>
      <c r="H33" s="20" t="str">
        <f aca="false">IFERROR(C33/F33,"")</f>
        <v/>
      </c>
      <c r="I33" s="20" t="str">
        <f aca="false">IFERROR(C33/D33*1000,"")</f>
        <v/>
      </c>
      <c r="J33" s="11"/>
      <c r="K33" s="20" t="str">
        <f aca="false">IFERROR(C33/J33,"")</f>
        <v/>
      </c>
      <c r="L33" s="19" t="str">
        <f aca="false">IFERROR(J33/F33,"")</f>
        <v/>
      </c>
      <c r="M33" s="11"/>
      <c r="N33" s="11"/>
      <c r="O33" s="21"/>
    </row>
    <row r="34" customFormat="false" ht="21.75" hidden="false" customHeight="true" outlineLevel="0" collapsed="false">
      <c r="A34" s="22"/>
      <c r="B34" s="5"/>
      <c r="C34" s="7"/>
      <c r="D34" s="23"/>
      <c r="E34" s="23"/>
      <c r="F34" s="23"/>
      <c r="G34" s="19" t="str">
        <f aca="false">IFERROR(F34/D34,"")</f>
        <v/>
      </c>
      <c r="H34" s="20" t="str">
        <f aca="false">IFERROR(C34/F34,"")</f>
        <v/>
      </c>
      <c r="I34" s="20" t="str">
        <f aca="false">IFERROR(C34/D34*1000,"")</f>
        <v/>
      </c>
      <c r="J34" s="5"/>
      <c r="K34" s="20" t="str">
        <f aca="false">IFERROR(C34/J34,"")</f>
        <v/>
      </c>
      <c r="L34" s="19" t="str">
        <f aca="false">IFERROR(J34/F34,"")</f>
        <v/>
      </c>
      <c r="M34" s="5"/>
      <c r="N34" s="5"/>
      <c r="O34" s="24"/>
    </row>
    <row r="35" customFormat="false" ht="21.75" hidden="false" customHeight="true" outlineLevel="0" collapsed="false">
      <c r="A35" s="17"/>
      <c r="B35" s="11"/>
      <c r="C35" s="12"/>
      <c r="D35" s="18"/>
      <c r="E35" s="18"/>
      <c r="F35" s="18"/>
      <c r="G35" s="19" t="str">
        <f aca="false">IFERROR(F35/D35,"")</f>
        <v/>
      </c>
      <c r="H35" s="20" t="str">
        <f aca="false">IFERROR(C35/F35,"")</f>
        <v/>
      </c>
      <c r="I35" s="20" t="str">
        <f aca="false">IFERROR(C35/D35*1000,"")</f>
        <v/>
      </c>
      <c r="J35" s="11"/>
      <c r="K35" s="20" t="str">
        <f aca="false">IFERROR(C35/J35,"")</f>
        <v/>
      </c>
      <c r="L35" s="19" t="str">
        <f aca="false">IFERROR(J35/F35,"")</f>
        <v/>
      </c>
      <c r="M35" s="11"/>
      <c r="N35" s="11"/>
      <c r="O35" s="21"/>
    </row>
    <row r="36" customFormat="false" ht="21.75" hidden="false" customHeight="true" outlineLevel="0" collapsed="false">
      <c r="A36" s="22"/>
      <c r="B36" s="5"/>
      <c r="C36" s="7"/>
      <c r="D36" s="23"/>
      <c r="E36" s="23"/>
      <c r="F36" s="23"/>
      <c r="G36" s="19" t="str">
        <f aca="false">IFERROR(F36/D36,"")</f>
        <v/>
      </c>
      <c r="H36" s="20" t="str">
        <f aca="false">IFERROR(C36/F36,"")</f>
        <v/>
      </c>
      <c r="I36" s="20" t="str">
        <f aca="false">IFERROR(C36/D36*1000,"")</f>
        <v/>
      </c>
      <c r="J36" s="5"/>
      <c r="K36" s="20" t="str">
        <f aca="false">IFERROR(C36/J36,"")</f>
        <v/>
      </c>
      <c r="L36" s="19" t="str">
        <f aca="false">IFERROR(J36/F36,"")</f>
        <v/>
      </c>
      <c r="M36" s="5"/>
      <c r="N36" s="5"/>
      <c r="O36" s="24"/>
    </row>
    <row r="37" customFormat="false" ht="21.75" hidden="false" customHeight="true" outlineLevel="0" collapsed="false">
      <c r="A37" s="17"/>
      <c r="B37" s="11"/>
      <c r="C37" s="12"/>
      <c r="D37" s="18"/>
      <c r="E37" s="18"/>
      <c r="F37" s="18"/>
      <c r="G37" s="19" t="str">
        <f aca="false">IFERROR(F37/D37,"")</f>
        <v/>
      </c>
      <c r="H37" s="20" t="str">
        <f aca="false">IFERROR(C37/F37,"")</f>
        <v/>
      </c>
      <c r="I37" s="20" t="str">
        <f aca="false">IFERROR(C37/D37*1000,"")</f>
        <v/>
      </c>
      <c r="J37" s="11"/>
      <c r="K37" s="20" t="str">
        <f aca="false">IFERROR(C37/J37,"")</f>
        <v/>
      </c>
      <c r="L37" s="19" t="str">
        <f aca="false">IFERROR(J37/F37,"")</f>
        <v/>
      </c>
      <c r="M37" s="11"/>
      <c r="N37" s="11"/>
      <c r="O37" s="21"/>
    </row>
    <row r="38" customFormat="false" ht="21.75" hidden="false" customHeight="true" outlineLevel="0" collapsed="false">
      <c r="A38" s="22"/>
      <c r="B38" s="5"/>
      <c r="C38" s="7"/>
      <c r="D38" s="23"/>
      <c r="E38" s="23"/>
      <c r="F38" s="23"/>
      <c r="G38" s="19" t="str">
        <f aca="false">IFERROR(F38/D38,"")</f>
        <v/>
      </c>
      <c r="H38" s="20" t="str">
        <f aca="false">IFERROR(C38/F38,"")</f>
        <v/>
      </c>
      <c r="I38" s="20" t="str">
        <f aca="false">IFERROR(C38/D38*1000,"")</f>
        <v/>
      </c>
      <c r="J38" s="5"/>
      <c r="K38" s="20" t="str">
        <f aca="false">IFERROR(C38/J38,"")</f>
        <v/>
      </c>
      <c r="L38" s="19" t="str">
        <f aca="false">IFERROR(J38/F38,"")</f>
        <v/>
      </c>
      <c r="M38" s="5"/>
      <c r="N38" s="5"/>
      <c r="O38" s="24"/>
    </row>
    <row r="39" customFormat="false" ht="21.75" hidden="false" customHeight="true" outlineLevel="0" collapsed="false">
      <c r="A39" s="17"/>
      <c r="B39" s="11"/>
      <c r="C39" s="12"/>
      <c r="D39" s="18"/>
      <c r="E39" s="18"/>
      <c r="F39" s="18"/>
      <c r="G39" s="19" t="str">
        <f aca="false">IFERROR(F39/D39,"")</f>
        <v/>
      </c>
      <c r="H39" s="20" t="str">
        <f aca="false">IFERROR(C39/F39,"")</f>
        <v/>
      </c>
      <c r="I39" s="20" t="str">
        <f aca="false">IFERROR(C39/D39*1000,"")</f>
        <v/>
      </c>
      <c r="J39" s="11"/>
      <c r="K39" s="20" t="str">
        <f aca="false">IFERROR(C39/J39,"")</f>
        <v/>
      </c>
      <c r="L39" s="19" t="str">
        <f aca="false">IFERROR(J39/F39,"")</f>
        <v/>
      </c>
      <c r="M39" s="11"/>
      <c r="N39" s="11"/>
      <c r="O39" s="21"/>
    </row>
    <row r="40" customFormat="false" ht="21.75" hidden="false" customHeight="true" outlineLevel="0" collapsed="false">
      <c r="A40" s="22"/>
      <c r="B40" s="5"/>
      <c r="C40" s="7"/>
      <c r="D40" s="23"/>
      <c r="E40" s="23"/>
      <c r="F40" s="23"/>
      <c r="G40" s="19" t="str">
        <f aca="false">IFERROR(F40/D40,"")</f>
        <v/>
      </c>
      <c r="H40" s="20" t="str">
        <f aca="false">IFERROR(C40/F40,"")</f>
        <v/>
      </c>
      <c r="I40" s="20" t="str">
        <f aca="false">IFERROR(C40/D40*1000,"")</f>
        <v/>
      </c>
      <c r="J40" s="5"/>
      <c r="K40" s="20" t="str">
        <f aca="false">IFERROR(C40/J40,"")</f>
        <v/>
      </c>
      <c r="L40" s="19" t="str">
        <f aca="false">IFERROR(J40/F40,"")</f>
        <v/>
      </c>
      <c r="M40" s="5"/>
      <c r="N40" s="5"/>
      <c r="O40" s="24"/>
    </row>
    <row r="41" customFormat="false" ht="21.75" hidden="false" customHeight="true" outlineLevel="0" collapsed="false">
      <c r="A41" s="17"/>
      <c r="B41" s="11"/>
      <c r="C41" s="12"/>
      <c r="D41" s="18"/>
      <c r="E41" s="18"/>
      <c r="F41" s="18"/>
      <c r="G41" s="19" t="str">
        <f aca="false">IFERROR(F41/D41,"")</f>
        <v/>
      </c>
      <c r="H41" s="20" t="str">
        <f aca="false">IFERROR(C41/F41,"")</f>
        <v/>
      </c>
      <c r="I41" s="20" t="str">
        <f aca="false">IFERROR(C41/D41*1000,"")</f>
        <v/>
      </c>
      <c r="J41" s="11"/>
      <c r="K41" s="20" t="str">
        <f aca="false">IFERROR(C41/J41,"")</f>
        <v/>
      </c>
      <c r="L41" s="19" t="str">
        <f aca="false">IFERROR(J41/F41,"")</f>
        <v/>
      </c>
      <c r="M41" s="11"/>
      <c r="N41" s="11"/>
      <c r="O41" s="21"/>
    </row>
    <row r="42" customFormat="false" ht="21.75" hidden="false" customHeight="true" outlineLevel="0" collapsed="false">
      <c r="A42" s="22"/>
      <c r="B42" s="5"/>
      <c r="C42" s="7"/>
      <c r="D42" s="23"/>
      <c r="E42" s="23"/>
      <c r="F42" s="23"/>
      <c r="G42" s="19" t="str">
        <f aca="false">IFERROR(F42/D42,"")</f>
        <v/>
      </c>
      <c r="H42" s="20" t="str">
        <f aca="false">IFERROR(C42/F42,"")</f>
        <v/>
      </c>
      <c r="I42" s="20" t="str">
        <f aca="false">IFERROR(C42/D42*1000,"")</f>
        <v/>
      </c>
      <c r="J42" s="5"/>
      <c r="K42" s="20" t="str">
        <f aca="false">IFERROR(C42/J42,"")</f>
        <v/>
      </c>
      <c r="L42" s="19" t="str">
        <f aca="false">IFERROR(J42/F42,"")</f>
        <v/>
      </c>
      <c r="M42" s="5"/>
      <c r="N42" s="5"/>
      <c r="O42" s="24"/>
    </row>
    <row r="43" customFormat="false" ht="21.75" hidden="false" customHeight="true" outlineLevel="0" collapsed="false">
      <c r="A43" s="17"/>
      <c r="B43" s="11"/>
      <c r="C43" s="12"/>
      <c r="D43" s="18"/>
      <c r="E43" s="18"/>
      <c r="F43" s="18"/>
      <c r="G43" s="19" t="str">
        <f aca="false">IFERROR(F43/D43,"")</f>
        <v/>
      </c>
      <c r="H43" s="20" t="str">
        <f aca="false">IFERROR(C43/F43,"")</f>
        <v/>
      </c>
      <c r="I43" s="20" t="str">
        <f aca="false">IFERROR(C43/D43*1000,"")</f>
        <v/>
      </c>
      <c r="J43" s="11"/>
      <c r="K43" s="20" t="str">
        <f aca="false">IFERROR(C43/J43,"")</f>
        <v/>
      </c>
      <c r="L43" s="19" t="str">
        <f aca="false">IFERROR(J43/F43,"")</f>
        <v/>
      </c>
      <c r="M43" s="11"/>
      <c r="N43" s="11"/>
      <c r="O43" s="21"/>
    </row>
    <row r="44" customFormat="false" ht="21.75" hidden="false" customHeight="true" outlineLevel="0" collapsed="false">
      <c r="A44" s="22"/>
      <c r="B44" s="5"/>
      <c r="C44" s="7"/>
      <c r="D44" s="23"/>
      <c r="E44" s="23"/>
      <c r="F44" s="23"/>
      <c r="G44" s="19" t="str">
        <f aca="false">IFERROR(F44/D44,"")</f>
        <v/>
      </c>
      <c r="H44" s="20" t="str">
        <f aca="false">IFERROR(C44/F44,"")</f>
        <v/>
      </c>
      <c r="I44" s="20" t="str">
        <f aca="false">IFERROR(C44/D44*1000,"")</f>
        <v/>
      </c>
      <c r="J44" s="5"/>
      <c r="K44" s="20" t="str">
        <f aca="false">IFERROR(C44/J44,"")</f>
        <v/>
      </c>
      <c r="L44" s="19" t="str">
        <f aca="false">IFERROR(J44/F44,"")</f>
        <v/>
      </c>
      <c r="M44" s="5"/>
      <c r="N44" s="5"/>
      <c r="O44" s="24"/>
    </row>
    <row r="45" customFormat="false" ht="21.75" hidden="false" customHeight="true" outlineLevel="0" collapsed="false">
      <c r="A45" s="17"/>
      <c r="B45" s="11"/>
      <c r="C45" s="12"/>
      <c r="D45" s="18"/>
      <c r="E45" s="18"/>
      <c r="F45" s="18"/>
      <c r="G45" s="19" t="str">
        <f aca="false">IFERROR(F45/D45,"")</f>
        <v/>
      </c>
      <c r="H45" s="20" t="str">
        <f aca="false">IFERROR(C45/F45,"")</f>
        <v/>
      </c>
      <c r="I45" s="20" t="str">
        <f aca="false">IFERROR(C45/D45*1000,"")</f>
        <v/>
      </c>
      <c r="J45" s="11"/>
      <c r="K45" s="20" t="str">
        <f aca="false">IFERROR(C45/J45,"")</f>
        <v/>
      </c>
      <c r="L45" s="19" t="str">
        <f aca="false">IFERROR(J45/F45,"")</f>
        <v/>
      </c>
      <c r="M45" s="11"/>
      <c r="N45" s="11"/>
      <c r="O45" s="21"/>
    </row>
    <row r="46" customFormat="false" ht="21.75" hidden="false" customHeight="true" outlineLevel="0" collapsed="false">
      <c r="A46" s="22"/>
      <c r="B46" s="5"/>
      <c r="C46" s="7"/>
      <c r="D46" s="23"/>
      <c r="E46" s="23"/>
      <c r="F46" s="23"/>
      <c r="G46" s="19" t="str">
        <f aca="false">IFERROR(F46/D46,"")</f>
        <v/>
      </c>
      <c r="H46" s="20" t="str">
        <f aca="false">IFERROR(C46/F46,"")</f>
        <v/>
      </c>
      <c r="I46" s="20" t="str">
        <f aca="false">IFERROR(C46/D46*1000,"")</f>
        <v/>
      </c>
      <c r="J46" s="5"/>
      <c r="K46" s="20" t="str">
        <f aca="false">IFERROR(C46/J46,"")</f>
        <v/>
      </c>
      <c r="L46" s="19" t="str">
        <f aca="false">IFERROR(J46/F46,"")</f>
        <v/>
      </c>
      <c r="M46" s="5"/>
      <c r="N46" s="5"/>
      <c r="O46" s="24"/>
    </row>
    <row r="47" customFormat="false" ht="21.75" hidden="false" customHeight="true" outlineLevel="0" collapsed="false">
      <c r="A47" s="17"/>
      <c r="B47" s="11"/>
      <c r="C47" s="12"/>
      <c r="D47" s="18"/>
      <c r="E47" s="18"/>
      <c r="F47" s="18"/>
      <c r="G47" s="19" t="str">
        <f aca="false">IFERROR(F47/D47,"")</f>
        <v/>
      </c>
      <c r="H47" s="20" t="str">
        <f aca="false">IFERROR(C47/F47,"")</f>
        <v/>
      </c>
      <c r="I47" s="20" t="str">
        <f aca="false">IFERROR(C47/D47*1000,"")</f>
        <v/>
      </c>
      <c r="J47" s="11"/>
      <c r="K47" s="20" t="str">
        <f aca="false">IFERROR(C47/J47,"")</f>
        <v/>
      </c>
      <c r="L47" s="19" t="str">
        <f aca="false">IFERROR(J47/F47,"")</f>
        <v/>
      </c>
      <c r="M47" s="11"/>
      <c r="N47" s="11"/>
      <c r="O47" s="21"/>
    </row>
    <row r="48" customFormat="false" ht="21.75" hidden="false" customHeight="true" outlineLevel="0" collapsed="false">
      <c r="A48" s="22"/>
      <c r="B48" s="5"/>
      <c r="C48" s="7"/>
      <c r="D48" s="23"/>
      <c r="E48" s="23"/>
      <c r="F48" s="23"/>
      <c r="G48" s="19" t="str">
        <f aca="false">IFERROR(F48/D48,"")</f>
        <v/>
      </c>
      <c r="H48" s="20" t="str">
        <f aca="false">IFERROR(C48/F48,"")</f>
        <v/>
      </c>
      <c r="I48" s="20" t="str">
        <f aca="false">IFERROR(C48/D48*1000,"")</f>
        <v/>
      </c>
      <c r="J48" s="5"/>
      <c r="K48" s="20" t="str">
        <f aca="false">IFERROR(C48/J48,"")</f>
        <v/>
      </c>
      <c r="L48" s="19" t="str">
        <f aca="false">IFERROR(J48/F48,"")</f>
        <v/>
      </c>
      <c r="M48" s="5"/>
      <c r="N48" s="5"/>
      <c r="O48" s="24"/>
    </row>
    <row r="49" customFormat="false" ht="21.75" hidden="false" customHeight="true" outlineLevel="0" collapsed="false">
      <c r="A49" s="17"/>
      <c r="B49" s="11"/>
      <c r="C49" s="12"/>
      <c r="D49" s="18"/>
      <c r="E49" s="18"/>
      <c r="F49" s="18"/>
      <c r="G49" s="19" t="str">
        <f aca="false">IFERROR(F49/D49,"")</f>
        <v/>
      </c>
      <c r="H49" s="20" t="str">
        <f aca="false">IFERROR(C49/F49,"")</f>
        <v/>
      </c>
      <c r="I49" s="20" t="str">
        <f aca="false">IFERROR(C49/D49*1000,"")</f>
        <v/>
      </c>
      <c r="J49" s="11"/>
      <c r="K49" s="20" t="str">
        <f aca="false">IFERROR(C49/J49,"")</f>
        <v/>
      </c>
      <c r="L49" s="19" t="str">
        <f aca="false">IFERROR(J49/F49,"")</f>
        <v/>
      </c>
      <c r="M49" s="11"/>
      <c r="N49" s="11"/>
      <c r="O49" s="21"/>
    </row>
    <row r="50" customFormat="false" ht="21.75" hidden="false" customHeight="true" outlineLevel="0" collapsed="false">
      <c r="A50" s="22"/>
      <c r="B50" s="5"/>
      <c r="C50" s="7"/>
      <c r="D50" s="23"/>
      <c r="E50" s="23"/>
      <c r="F50" s="23"/>
      <c r="G50" s="19" t="str">
        <f aca="false">IFERROR(F50/D50,"")</f>
        <v/>
      </c>
      <c r="H50" s="20" t="str">
        <f aca="false">IFERROR(C50/F50,"")</f>
        <v/>
      </c>
      <c r="I50" s="20" t="str">
        <f aca="false">IFERROR(C50/D50*1000,"")</f>
        <v/>
      </c>
      <c r="J50" s="5"/>
      <c r="K50" s="20" t="str">
        <f aca="false">IFERROR(C50/J50,"")</f>
        <v/>
      </c>
      <c r="L50" s="19" t="str">
        <f aca="false">IFERROR(J50/F50,"")</f>
        <v/>
      </c>
      <c r="M50" s="5"/>
      <c r="N50" s="5"/>
      <c r="O50" s="24"/>
    </row>
    <row r="51" customFormat="false" ht="21.75" hidden="false" customHeight="true" outlineLevel="0" collapsed="false">
      <c r="A51" s="17"/>
      <c r="B51" s="11"/>
      <c r="C51" s="12"/>
      <c r="D51" s="18"/>
      <c r="E51" s="18"/>
      <c r="F51" s="18"/>
      <c r="G51" s="19" t="str">
        <f aca="false">IFERROR(F51/D51,"")</f>
        <v/>
      </c>
      <c r="H51" s="20" t="str">
        <f aca="false">IFERROR(C51/F51,"")</f>
        <v/>
      </c>
      <c r="I51" s="20" t="str">
        <f aca="false">IFERROR(C51/D51*1000,"")</f>
        <v/>
      </c>
      <c r="J51" s="11"/>
      <c r="K51" s="20" t="str">
        <f aca="false">IFERROR(C51/J51,"")</f>
        <v/>
      </c>
      <c r="L51" s="19" t="str">
        <f aca="false">IFERROR(J51/F51,"")</f>
        <v/>
      </c>
      <c r="M51" s="11"/>
      <c r="N51" s="11"/>
      <c r="O51" s="21"/>
    </row>
    <row r="52" customFormat="false" ht="21.75" hidden="false" customHeight="true" outlineLevel="0" collapsed="false">
      <c r="A52" s="22"/>
      <c r="B52" s="5"/>
      <c r="C52" s="7"/>
      <c r="D52" s="23"/>
      <c r="E52" s="23"/>
      <c r="F52" s="23"/>
      <c r="G52" s="19" t="str">
        <f aca="false">IFERROR(F52/D52,"")</f>
        <v/>
      </c>
      <c r="H52" s="20" t="str">
        <f aca="false">IFERROR(C52/F52,"")</f>
        <v/>
      </c>
      <c r="I52" s="20" t="str">
        <f aca="false">IFERROR(C52/D52*1000,"")</f>
        <v/>
      </c>
      <c r="J52" s="5"/>
      <c r="K52" s="20" t="str">
        <f aca="false">IFERROR(C52/J52,"")</f>
        <v/>
      </c>
      <c r="L52" s="19" t="str">
        <f aca="false">IFERROR(J52/F52,"")</f>
        <v/>
      </c>
      <c r="M52" s="5"/>
      <c r="N52" s="5"/>
      <c r="O52" s="24"/>
    </row>
    <row r="53" customFormat="false" ht="21.75" hidden="false" customHeight="true" outlineLevel="0" collapsed="false">
      <c r="A53" s="17"/>
      <c r="B53" s="11"/>
      <c r="C53" s="12"/>
      <c r="D53" s="18"/>
      <c r="E53" s="18"/>
      <c r="F53" s="18"/>
      <c r="G53" s="19" t="str">
        <f aca="false">IFERROR(F53/D53,"")</f>
        <v/>
      </c>
      <c r="H53" s="20" t="str">
        <f aca="false">IFERROR(C53/F53,"")</f>
        <v/>
      </c>
      <c r="I53" s="20" t="str">
        <f aca="false">IFERROR(C53/D53*1000,"")</f>
        <v/>
      </c>
      <c r="J53" s="11"/>
      <c r="K53" s="20" t="str">
        <f aca="false">IFERROR(C53/J53,"")</f>
        <v/>
      </c>
      <c r="L53" s="19" t="str">
        <f aca="false">IFERROR(J53/F53,"")</f>
        <v/>
      </c>
      <c r="M53" s="11"/>
      <c r="N53" s="11"/>
      <c r="O53" s="21"/>
    </row>
    <row r="54" customFormat="false" ht="21.75" hidden="false" customHeight="true" outlineLevel="0" collapsed="false">
      <c r="A54" s="22"/>
      <c r="B54" s="5"/>
      <c r="C54" s="7"/>
      <c r="D54" s="23"/>
      <c r="E54" s="23"/>
      <c r="F54" s="23"/>
      <c r="G54" s="19" t="str">
        <f aca="false">IFERROR(F54/D54,"")</f>
        <v/>
      </c>
      <c r="H54" s="20" t="str">
        <f aca="false">IFERROR(C54/F54,"")</f>
        <v/>
      </c>
      <c r="I54" s="20" t="str">
        <f aca="false">IFERROR(C54/D54*1000,"")</f>
        <v/>
      </c>
      <c r="J54" s="5"/>
      <c r="K54" s="20" t="str">
        <f aca="false">IFERROR(C54/J54,"")</f>
        <v/>
      </c>
      <c r="L54" s="19" t="str">
        <f aca="false">IFERROR(J54/F54,"")</f>
        <v/>
      </c>
      <c r="M54" s="5"/>
      <c r="N54" s="5"/>
      <c r="O54" s="24"/>
    </row>
    <row r="55" customFormat="false" ht="21.75" hidden="false" customHeight="true" outlineLevel="0" collapsed="false">
      <c r="A55" s="17"/>
      <c r="B55" s="11"/>
      <c r="C55" s="12"/>
      <c r="D55" s="18"/>
      <c r="E55" s="18"/>
      <c r="F55" s="18"/>
      <c r="G55" s="19" t="str">
        <f aca="false">IFERROR(F55/D55,"")</f>
        <v/>
      </c>
      <c r="H55" s="20" t="str">
        <f aca="false">IFERROR(C55/F55,"")</f>
        <v/>
      </c>
      <c r="I55" s="20" t="str">
        <f aca="false">IFERROR(C55/D55*1000,"")</f>
        <v/>
      </c>
      <c r="J55" s="11"/>
      <c r="K55" s="20" t="str">
        <f aca="false">IFERROR(C55/J55,"")</f>
        <v/>
      </c>
      <c r="L55" s="19" t="str">
        <f aca="false">IFERROR(J55/F55,"")</f>
        <v/>
      </c>
      <c r="M55" s="11"/>
      <c r="N55" s="11"/>
      <c r="O55" s="21"/>
    </row>
    <row r="56" customFormat="false" ht="21.75" hidden="false" customHeight="true" outlineLevel="0" collapsed="false">
      <c r="A56" s="22"/>
      <c r="B56" s="5"/>
      <c r="C56" s="7"/>
      <c r="D56" s="23"/>
      <c r="E56" s="23"/>
      <c r="F56" s="23"/>
      <c r="G56" s="19" t="str">
        <f aca="false">IFERROR(F56/D56,"")</f>
        <v/>
      </c>
      <c r="H56" s="20" t="str">
        <f aca="false">IFERROR(C56/F56,"")</f>
        <v/>
      </c>
      <c r="I56" s="20" t="str">
        <f aca="false">IFERROR(C56/D56*1000,"")</f>
        <v/>
      </c>
      <c r="J56" s="5"/>
      <c r="K56" s="20" t="str">
        <f aca="false">IFERROR(C56/J56,"")</f>
        <v/>
      </c>
      <c r="L56" s="19" t="str">
        <f aca="false">IFERROR(J56/F56,"")</f>
        <v/>
      </c>
      <c r="M56" s="5"/>
      <c r="N56" s="5"/>
      <c r="O56" s="24"/>
    </row>
    <row r="57" customFormat="false" ht="21.75" hidden="false" customHeight="true" outlineLevel="0" collapsed="false">
      <c r="A57" s="17"/>
      <c r="B57" s="11"/>
      <c r="C57" s="12"/>
      <c r="D57" s="18"/>
      <c r="E57" s="18"/>
      <c r="F57" s="18"/>
      <c r="G57" s="19" t="str">
        <f aca="false">IFERROR(F57/D57,"")</f>
        <v/>
      </c>
      <c r="H57" s="20" t="str">
        <f aca="false">IFERROR(C57/F57,"")</f>
        <v/>
      </c>
      <c r="I57" s="20" t="str">
        <f aca="false">IFERROR(C57/D57*1000,"")</f>
        <v/>
      </c>
      <c r="J57" s="11"/>
      <c r="K57" s="20" t="str">
        <f aca="false">IFERROR(C57/J57,"")</f>
        <v/>
      </c>
      <c r="L57" s="19" t="str">
        <f aca="false">IFERROR(J57/F57,"")</f>
        <v/>
      </c>
      <c r="M57" s="11"/>
      <c r="N57" s="11"/>
      <c r="O57" s="21"/>
    </row>
    <row r="58" customFormat="false" ht="21.75" hidden="false" customHeight="true" outlineLevel="0" collapsed="false">
      <c r="A58" s="22"/>
      <c r="B58" s="5"/>
      <c r="C58" s="7"/>
      <c r="D58" s="23"/>
      <c r="E58" s="23"/>
      <c r="F58" s="23"/>
      <c r="G58" s="19" t="str">
        <f aca="false">IFERROR(F58/D58,"")</f>
        <v/>
      </c>
      <c r="H58" s="20" t="str">
        <f aca="false">IFERROR(C58/F58,"")</f>
        <v/>
      </c>
      <c r="I58" s="20" t="str">
        <f aca="false">IFERROR(C58/D58*1000,"")</f>
        <v/>
      </c>
      <c r="J58" s="5"/>
      <c r="K58" s="20" t="str">
        <f aca="false">IFERROR(C58/J58,"")</f>
        <v/>
      </c>
      <c r="L58" s="19" t="str">
        <f aca="false">IFERROR(J58/F58,"")</f>
        <v/>
      </c>
      <c r="M58" s="5"/>
      <c r="N58" s="5"/>
      <c r="O58" s="24"/>
    </row>
    <row r="59" customFormat="false" ht="21.75" hidden="false" customHeight="true" outlineLevel="0" collapsed="false">
      <c r="A59" s="17"/>
      <c r="B59" s="11"/>
      <c r="C59" s="12"/>
      <c r="D59" s="18"/>
      <c r="E59" s="18"/>
      <c r="F59" s="18"/>
      <c r="G59" s="19" t="str">
        <f aca="false">IFERROR(F59/D59,"")</f>
        <v/>
      </c>
      <c r="H59" s="20" t="str">
        <f aca="false">IFERROR(C59/F59,"")</f>
        <v/>
      </c>
      <c r="I59" s="20" t="str">
        <f aca="false">IFERROR(C59/D59*1000,"")</f>
        <v/>
      </c>
      <c r="J59" s="11"/>
      <c r="K59" s="20" t="str">
        <f aca="false">IFERROR(C59/J59,"")</f>
        <v/>
      </c>
      <c r="L59" s="19" t="str">
        <f aca="false">IFERROR(J59/F59,"")</f>
        <v/>
      </c>
      <c r="M59" s="11"/>
      <c r="N59" s="11"/>
      <c r="O59" s="21"/>
    </row>
    <row r="60" customFormat="false" ht="21.75" hidden="false" customHeight="true" outlineLevel="0" collapsed="false">
      <c r="A60" s="22"/>
      <c r="B60" s="5"/>
      <c r="C60" s="7"/>
      <c r="D60" s="23"/>
      <c r="E60" s="23"/>
      <c r="F60" s="23"/>
      <c r="G60" s="19" t="str">
        <f aca="false">IFERROR(F60/D60,"")</f>
        <v/>
      </c>
      <c r="H60" s="20" t="str">
        <f aca="false">IFERROR(C60/F60,"")</f>
        <v/>
      </c>
      <c r="I60" s="20" t="str">
        <f aca="false">IFERROR(C60/D60*1000,"")</f>
        <v/>
      </c>
      <c r="J60" s="5"/>
      <c r="K60" s="20" t="str">
        <f aca="false">IFERROR(C60/J60,"")</f>
        <v/>
      </c>
      <c r="L60" s="19" t="str">
        <f aca="false">IFERROR(J60/F60,"")</f>
        <v/>
      </c>
      <c r="M60" s="5"/>
      <c r="N60" s="5"/>
      <c r="O60" s="24"/>
    </row>
    <row r="61" customFormat="false" ht="21.75" hidden="false" customHeight="true" outlineLevel="0" collapsed="false">
      <c r="A61" s="17"/>
      <c r="B61" s="11"/>
      <c r="C61" s="12"/>
      <c r="D61" s="18"/>
      <c r="E61" s="18"/>
      <c r="F61" s="18"/>
      <c r="G61" s="19" t="str">
        <f aca="false">IFERROR(F61/D61,"")</f>
        <v/>
      </c>
      <c r="H61" s="20" t="str">
        <f aca="false">IFERROR(C61/F61,"")</f>
        <v/>
      </c>
      <c r="I61" s="20" t="str">
        <f aca="false">IFERROR(C61/D61*1000,"")</f>
        <v/>
      </c>
      <c r="J61" s="11"/>
      <c r="K61" s="20" t="str">
        <f aca="false">IFERROR(C61/J61,"")</f>
        <v/>
      </c>
      <c r="L61" s="19" t="str">
        <f aca="false">IFERROR(J61/F61,"")</f>
        <v/>
      </c>
      <c r="M61" s="11"/>
      <c r="N61" s="11"/>
      <c r="O61" s="21"/>
    </row>
    <row r="62" customFormat="false" ht="21.75" hidden="false" customHeight="true" outlineLevel="0" collapsed="false">
      <c r="A62" s="22"/>
      <c r="B62" s="5"/>
      <c r="C62" s="7"/>
      <c r="D62" s="23"/>
      <c r="E62" s="23"/>
      <c r="F62" s="23"/>
      <c r="G62" s="19" t="str">
        <f aca="false">IFERROR(F62/D62,"")</f>
        <v/>
      </c>
      <c r="H62" s="20" t="str">
        <f aca="false">IFERROR(C62/F62,"")</f>
        <v/>
      </c>
      <c r="I62" s="20" t="str">
        <f aca="false">IFERROR(C62/D62*1000,"")</f>
        <v/>
      </c>
      <c r="J62" s="5"/>
      <c r="K62" s="20" t="str">
        <f aca="false">IFERROR(C62/J62,"")</f>
        <v/>
      </c>
      <c r="L62" s="19" t="str">
        <f aca="false">IFERROR(J62/F62,"")</f>
        <v/>
      </c>
      <c r="M62" s="5"/>
      <c r="N62" s="5"/>
      <c r="O62" s="24"/>
    </row>
    <row r="63" customFormat="false" ht="21.75" hidden="false" customHeight="true" outlineLevel="0" collapsed="false">
      <c r="A63" s="17"/>
      <c r="B63" s="11"/>
      <c r="C63" s="12"/>
      <c r="D63" s="18"/>
      <c r="E63" s="18"/>
      <c r="F63" s="18"/>
      <c r="G63" s="19" t="str">
        <f aca="false">IFERROR(F63/D63,"")</f>
        <v/>
      </c>
      <c r="H63" s="20" t="str">
        <f aca="false">IFERROR(C63/F63,"")</f>
        <v/>
      </c>
      <c r="I63" s="20" t="str">
        <f aca="false">IFERROR(C63/D63*1000,"")</f>
        <v/>
      </c>
      <c r="J63" s="11"/>
      <c r="K63" s="20" t="str">
        <f aca="false">IFERROR(C63/J63,"")</f>
        <v/>
      </c>
      <c r="L63" s="19" t="str">
        <f aca="false">IFERROR(J63/F63,"")</f>
        <v/>
      </c>
      <c r="M63" s="11"/>
      <c r="N63" s="11"/>
      <c r="O63" s="21"/>
    </row>
    <row r="64" customFormat="false" ht="21.75" hidden="false" customHeight="true" outlineLevel="0" collapsed="false">
      <c r="A64" s="22"/>
      <c r="B64" s="5"/>
      <c r="C64" s="7"/>
      <c r="D64" s="23"/>
      <c r="E64" s="23"/>
      <c r="F64" s="23"/>
      <c r="G64" s="19" t="str">
        <f aca="false">IFERROR(F64/D64,"")</f>
        <v/>
      </c>
      <c r="H64" s="20" t="str">
        <f aca="false">IFERROR(C64/F64,"")</f>
        <v/>
      </c>
      <c r="I64" s="20" t="str">
        <f aca="false">IFERROR(C64/D64*1000,"")</f>
        <v/>
      </c>
      <c r="J64" s="5"/>
      <c r="K64" s="20" t="str">
        <f aca="false">IFERROR(C64/J64,"")</f>
        <v/>
      </c>
      <c r="L64" s="19" t="str">
        <f aca="false">IFERROR(J64/F64,"")</f>
        <v/>
      </c>
      <c r="M64" s="5"/>
      <c r="N64" s="5"/>
      <c r="O64" s="24"/>
    </row>
    <row r="65" customFormat="false" ht="21.75" hidden="false" customHeight="true" outlineLevel="0" collapsed="false">
      <c r="A65" s="17"/>
      <c r="B65" s="11"/>
      <c r="C65" s="12"/>
      <c r="D65" s="18"/>
      <c r="E65" s="18"/>
      <c r="F65" s="18"/>
      <c r="G65" s="19" t="str">
        <f aca="false">IFERROR(F65/D65,"")</f>
        <v/>
      </c>
      <c r="H65" s="20" t="str">
        <f aca="false">IFERROR(C65/F65,"")</f>
        <v/>
      </c>
      <c r="I65" s="20" t="str">
        <f aca="false">IFERROR(C65/D65*1000,"")</f>
        <v/>
      </c>
      <c r="J65" s="11"/>
      <c r="K65" s="20" t="str">
        <f aca="false">IFERROR(C65/J65,"")</f>
        <v/>
      </c>
      <c r="L65" s="19" t="str">
        <f aca="false">IFERROR(J65/F65,"")</f>
        <v/>
      </c>
      <c r="M65" s="11"/>
      <c r="N65" s="11"/>
      <c r="O65" s="21"/>
    </row>
    <row r="66" customFormat="false" ht="21.75" hidden="false" customHeight="true" outlineLevel="0" collapsed="false">
      <c r="A66" s="22"/>
      <c r="B66" s="5"/>
      <c r="C66" s="7"/>
      <c r="D66" s="23"/>
      <c r="E66" s="23"/>
      <c r="F66" s="23"/>
      <c r="G66" s="19" t="str">
        <f aca="false">IFERROR(F66/D66,"")</f>
        <v/>
      </c>
      <c r="H66" s="20" t="str">
        <f aca="false">IFERROR(C66/F66,"")</f>
        <v/>
      </c>
      <c r="I66" s="20" t="str">
        <f aca="false">IFERROR(C66/D66*1000,"")</f>
        <v/>
      </c>
      <c r="J66" s="5"/>
      <c r="K66" s="20" t="str">
        <f aca="false">IFERROR(C66/J66,"")</f>
        <v/>
      </c>
      <c r="L66" s="19" t="str">
        <f aca="false">IFERROR(J66/F66,"")</f>
        <v/>
      </c>
      <c r="M66" s="5"/>
      <c r="N66" s="5"/>
      <c r="O66" s="24"/>
    </row>
    <row r="67" customFormat="false" ht="21.75" hidden="false" customHeight="true" outlineLevel="0" collapsed="false">
      <c r="A67" s="17"/>
      <c r="B67" s="11"/>
      <c r="C67" s="12"/>
      <c r="D67" s="18"/>
      <c r="E67" s="18"/>
      <c r="F67" s="18"/>
      <c r="G67" s="19" t="str">
        <f aca="false">IFERROR(F67/D67,"")</f>
        <v/>
      </c>
      <c r="H67" s="20" t="str">
        <f aca="false">IFERROR(C67/F67,"")</f>
        <v/>
      </c>
      <c r="I67" s="20" t="str">
        <f aca="false">IFERROR(C67/D67*1000,"")</f>
        <v/>
      </c>
      <c r="J67" s="11"/>
      <c r="K67" s="20" t="str">
        <f aca="false">IFERROR(C67/J67,"")</f>
        <v/>
      </c>
      <c r="L67" s="19" t="str">
        <f aca="false">IFERROR(J67/F67,"")</f>
        <v/>
      </c>
      <c r="M67" s="11"/>
      <c r="N67" s="11"/>
      <c r="O67" s="21"/>
    </row>
    <row r="68" customFormat="false" ht="21.75" hidden="false" customHeight="true" outlineLevel="0" collapsed="false">
      <c r="A68" s="22"/>
      <c r="B68" s="5"/>
      <c r="C68" s="7"/>
      <c r="D68" s="23"/>
      <c r="E68" s="23"/>
      <c r="F68" s="23"/>
      <c r="G68" s="19" t="str">
        <f aca="false">IFERROR(F68/D68,"")</f>
        <v/>
      </c>
      <c r="H68" s="20" t="str">
        <f aca="false">IFERROR(C68/F68,"")</f>
        <v/>
      </c>
      <c r="I68" s="20" t="str">
        <f aca="false">IFERROR(C68/D68*1000,"")</f>
        <v/>
      </c>
      <c r="J68" s="5"/>
      <c r="K68" s="20" t="str">
        <f aca="false">IFERROR(C68/J68,"")</f>
        <v/>
      </c>
      <c r="L68" s="19" t="str">
        <f aca="false">IFERROR(J68/F68,"")</f>
        <v/>
      </c>
      <c r="M68" s="5"/>
      <c r="N68" s="5"/>
      <c r="O68" s="24"/>
    </row>
    <row r="69" customFormat="false" ht="21.75" hidden="false" customHeight="true" outlineLevel="0" collapsed="false">
      <c r="A69" s="17"/>
      <c r="B69" s="11"/>
      <c r="C69" s="12"/>
      <c r="D69" s="18"/>
      <c r="E69" s="18"/>
      <c r="F69" s="18"/>
      <c r="G69" s="19" t="str">
        <f aca="false">IFERROR(F69/D69,"")</f>
        <v/>
      </c>
      <c r="H69" s="20" t="str">
        <f aca="false">IFERROR(C69/F69,"")</f>
        <v/>
      </c>
      <c r="I69" s="20" t="str">
        <f aca="false">IFERROR(C69/D69*1000,"")</f>
        <v/>
      </c>
      <c r="J69" s="11"/>
      <c r="K69" s="20" t="str">
        <f aca="false">IFERROR(C69/J69,"")</f>
        <v/>
      </c>
      <c r="L69" s="19" t="str">
        <f aca="false">IFERROR(J69/F69,"")</f>
        <v/>
      </c>
      <c r="M69" s="11"/>
      <c r="N69" s="11"/>
      <c r="O69" s="21"/>
    </row>
    <row r="70" customFormat="false" ht="21.75" hidden="false" customHeight="true" outlineLevel="0" collapsed="false">
      <c r="A70" s="22"/>
      <c r="B70" s="5"/>
      <c r="C70" s="7"/>
      <c r="D70" s="23"/>
      <c r="E70" s="23"/>
      <c r="F70" s="23"/>
      <c r="G70" s="19" t="str">
        <f aca="false">IFERROR(F70/D70,"")</f>
        <v/>
      </c>
      <c r="H70" s="20" t="str">
        <f aca="false">IFERROR(C70/F70,"")</f>
        <v/>
      </c>
      <c r="I70" s="20" t="str">
        <f aca="false">IFERROR(C70/D70*1000,"")</f>
        <v/>
      </c>
      <c r="J70" s="5"/>
      <c r="K70" s="20" t="str">
        <f aca="false">IFERROR(C70/J70,"")</f>
        <v/>
      </c>
      <c r="L70" s="19" t="str">
        <f aca="false">IFERROR(J70/F70,"")</f>
        <v/>
      </c>
      <c r="M70" s="5"/>
      <c r="N70" s="5"/>
      <c r="O70" s="24"/>
    </row>
    <row r="71" customFormat="false" ht="21.75" hidden="false" customHeight="true" outlineLevel="0" collapsed="false">
      <c r="A71" s="17"/>
      <c r="B71" s="11"/>
      <c r="C71" s="12"/>
      <c r="D71" s="18"/>
      <c r="E71" s="18"/>
      <c r="F71" s="18"/>
      <c r="G71" s="19" t="str">
        <f aca="false">IFERROR(F71/D71,"")</f>
        <v/>
      </c>
      <c r="H71" s="20" t="str">
        <f aca="false">IFERROR(C71/F71,"")</f>
        <v/>
      </c>
      <c r="I71" s="20" t="str">
        <f aca="false">IFERROR(C71/D71*1000,"")</f>
        <v/>
      </c>
      <c r="J71" s="11"/>
      <c r="K71" s="20" t="str">
        <f aca="false">IFERROR(C71/J71,"")</f>
        <v/>
      </c>
      <c r="L71" s="19" t="str">
        <f aca="false">IFERROR(J71/F71,"")</f>
        <v/>
      </c>
      <c r="M71" s="11"/>
      <c r="N71" s="11"/>
      <c r="O71" s="21"/>
    </row>
    <row r="72" customFormat="false" ht="21.75" hidden="false" customHeight="true" outlineLevel="0" collapsed="false">
      <c r="A72" s="22"/>
      <c r="B72" s="5"/>
      <c r="C72" s="7"/>
      <c r="D72" s="23"/>
      <c r="E72" s="23"/>
      <c r="F72" s="23"/>
      <c r="G72" s="19" t="str">
        <f aca="false">IFERROR(F72/D72,"")</f>
        <v/>
      </c>
      <c r="H72" s="20" t="str">
        <f aca="false">IFERROR(C72/F72,"")</f>
        <v/>
      </c>
      <c r="I72" s="20" t="str">
        <f aca="false">IFERROR(C72/D72*1000,"")</f>
        <v/>
      </c>
      <c r="J72" s="5"/>
      <c r="K72" s="20" t="str">
        <f aca="false">IFERROR(C72/J72,"")</f>
        <v/>
      </c>
      <c r="L72" s="19" t="str">
        <f aca="false">IFERROR(J72/F72,"")</f>
        <v/>
      </c>
      <c r="M72" s="5"/>
      <c r="N72" s="5"/>
      <c r="O72" s="24"/>
    </row>
    <row r="73" customFormat="false" ht="21.75" hidden="false" customHeight="true" outlineLevel="0" collapsed="false">
      <c r="A73" s="17"/>
      <c r="B73" s="11"/>
      <c r="C73" s="12"/>
      <c r="D73" s="18"/>
      <c r="E73" s="18"/>
      <c r="F73" s="18"/>
      <c r="G73" s="19" t="str">
        <f aca="false">IFERROR(F73/D73,"")</f>
        <v/>
      </c>
      <c r="H73" s="20" t="str">
        <f aca="false">IFERROR(C73/F73,"")</f>
        <v/>
      </c>
      <c r="I73" s="20" t="str">
        <f aca="false">IFERROR(C73/D73*1000,"")</f>
        <v/>
      </c>
      <c r="J73" s="11"/>
      <c r="K73" s="20" t="str">
        <f aca="false">IFERROR(C73/J73,"")</f>
        <v/>
      </c>
      <c r="L73" s="19" t="str">
        <f aca="false">IFERROR(J73/F73,"")</f>
        <v/>
      </c>
      <c r="M73" s="11"/>
      <c r="N73" s="11"/>
      <c r="O73" s="21"/>
    </row>
    <row r="74" customFormat="false" ht="21.75" hidden="false" customHeight="true" outlineLevel="0" collapsed="false">
      <c r="A74" s="22"/>
      <c r="B74" s="5"/>
      <c r="C74" s="7"/>
      <c r="D74" s="23"/>
      <c r="E74" s="23"/>
      <c r="F74" s="23"/>
      <c r="G74" s="19" t="str">
        <f aca="false">IFERROR(F74/D74,"")</f>
        <v/>
      </c>
      <c r="H74" s="20" t="str">
        <f aca="false">IFERROR(C74/F74,"")</f>
        <v/>
      </c>
      <c r="I74" s="20" t="str">
        <f aca="false">IFERROR(C74/D74*1000,"")</f>
        <v/>
      </c>
      <c r="J74" s="5"/>
      <c r="K74" s="20" t="str">
        <f aca="false">IFERROR(C74/J74,"")</f>
        <v/>
      </c>
      <c r="L74" s="19" t="str">
        <f aca="false">IFERROR(J74/F74,"")</f>
        <v/>
      </c>
      <c r="M74" s="5"/>
      <c r="N74" s="5"/>
      <c r="O74" s="24"/>
    </row>
    <row r="75" customFormat="false" ht="21.75" hidden="false" customHeight="true" outlineLevel="0" collapsed="false">
      <c r="A75" s="17"/>
      <c r="B75" s="11"/>
      <c r="C75" s="12"/>
      <c r="D75" s="18"/>
      <c r="E75" s="18"/>
      <c r="F75" s="18"/>
      <c r="G75" s="19" t="str">
        <f aca="false">IFERROR(F75/D75,"")</f>
        <v/>
      </c>
      <c r="H75" s="20" t="str">
        <f aca="false">IFERROR(C75/F75,"")</f>
        <v/>
      </c>
      <c r="I75" s="20" t="str">
        <f aca="false">IFERROR(C75/D75*1000,"")</f>
        <v/>
      </c>
      <c r="J75" s="11"/>
      <c r="K75" s="20" t="str">
        <f aca="false">IFERROR(C75/J75,"")</f>
        <v/>
      </c>
      <c r="L75" s="19" t="str">
        <f aca="false">IFERROR(J75/F75,"")</f>
        <v/>
      </c>
      <c r="M75" s="11"/>
      <c r="N75" s="11"/>
      <c r="O75" s="21"/>
    </row>
    <row r="76" customFormat="false" ht="21.75" hidden="false" customHeight="true" outlineLevel="0" collapsed="false">
      <c r="A76" s="22"/>
      <c r="B76" s="5"/>
      <c r="C76" s="7"/>
      <c r="D76" s="23"/>
      <c r="E76" s="23"/>
      <c r="F76" s="23"/>
      <c r="G76" s="19" t="str">
        <f aca="false">IFERROR(F76/D76,"")</f>
        <v/>
      </c>
      <c r="H76" s="20" t="str">
        <f aca="false">IFERROR(C76/F76,"")</f>
        <v/>
      </c>
      <c r="I76" s="20" t="str">
        <f aca="false">IFERROR(C76/D76*1000,"")</f>
        <v/>
      </c>
      <c r="J76" s="5"/>
      <c r="K76" s="20" t="str">
        <f aca="false">IFERROR(C76/J76,"")</f>
        <v/>
      </c>
      <c r="L76" s="19" t="str">
        <f aca="false">IFERROR(J76/F76,"")</f>
        <v/>
      </c>
      <c r="M76" s="5"/>
      <c r="N76" s="5"/>
      <c r="O76" s="24"/>
    </row>
    <row r="77" customFormat="false" ht="21.75" hidden="false" customHeight="true" outlineLevel="0" collapsed="false">
      <c r="A77" s="17"/>
      <c r="B77" s="11"/>
      <c r="C77" s="12"/>
      <c r="D77" s="18"/>
      <c r="E77" s="18"/>
      <c r="F77" s="18"/>
      <c r="G77" s="19" t="str">
        <f aca="false">IFERROR(F77/D77,"")</f>
        <v/>
      </c>
      <c r="H77" s="20" t="str">
        <f aca="false">IFERROR(C77/F77,"")</f>
        <v/>
      </c>
      <c r="I77" s="20" t="str">
        <f aca="false">IFERROR(C77/D77*1000,"")</f>
        <v/>
      </c>
      <c r="J77" s="11"/>
      <c r="K77" s="20" t="str">
        <f aca="false">IFERROR(C77/J77,"")</f>
        <v/>
      </c>
      <c r="L77" s="19" t="str">
        <f aca="false">IFERROR(J77/F77,"")</f>
        <v/>
      </c>
      <c r="M77" s="11"/>
      <c r="N77" s="11"/>
      <c r="O77" s="21"/>
    </row>
    <row r="78" customFormat="false" ht="21.75" hidden="false" customHeight="true" outlineLevel="0" collapsed="false">
      <c r="A78" s="22"/>
      <c r="B78" s="5"/>
      <c r="C78" s="7"/>
      <c r="D78" s="23"/>
      <c r="E78" s="23"/>
      <c r="F78" s="23"/>
      <c r="G78" s="19" t="str">
        <f aca="false">IFERROR(F78/D78,"")</f>
        <v/>
      </c>
      <c r="H78" s="20" t="str">
        <f aca="false">IFERROR(C78/F78,"")</f>
        <v/>
      </c>
      <c r="I78" s="20" t="str">
        <f aca="false">IFERROR(C78/D78*1000,"")</f>
        <v/>
      </c>
      <c r="J78" s="5"/>
      <c r="K78" s="20" t="str">
        <f aca="false">IFERROR(C78/J78,"")</f>
        <v/>
      </c>
      <c r="L78" s="19" t="str">
        <f aca="false">IFERROR(J78/F78,"")</f>
        <v/>
      </c>
      <c r="M78" s="5"/>
      <c r="N78" s="5"/>
      <c r="O78" s="24"/>
    </row>
    <row r="79" customFormat="false" ht="21.75" hidden="false" customHeight="true" outlineLevel="0" collapsed="false">
      <c r="A79" s="17"/>
      <c r="B79" s="11"/>
      <c r="C79" s="12"/>
      <c r="D79" s="18"/>
      <c r="E79" s="18"/>
      <c r="F79" s="18"/>
      <c r="G79" s="19" t="str">
        <f aca="false">IFERROR(F79/D79,"")</f>
        <v/>
      </c>
      <c r="H79" s="20" t="str">
        <f aca="false">IFERROR(C79/F79,"")</f>
        <v/>
      </c>
      <c r="I79" s="20" t="str">
        <f aca="false">IFERROR(C79/D79*1000,"")</f>
        <v/>
      </c>
      <c r="J79" s="11"/>
      <c r="K79" s="20" t="str">
        <f aca="false">IFERROR(C79/J79,"")</f>
        <v/>
      </c>
      <c r="L79" s="19" t="str">
        <f aca="false">IFERROR(J79/F79,"")</f>
        <v/>
      </c>
      <c r="M79" s="11"/>
      <c r="N79" s="11"/>
      <c r="O79" s="21"/>
    </row>
    <row r="80" customFormat="false" ht="21.75" hidden="false" customHeight="true" outlineLevel="0" collapsed="false">
      <c r="A80" s="22"/>
      <c r="B80" s="5"/>
      <c r="C80" s="7"/>
      <c r="D80" s="23"/>
      <c r="E80" s="23"/>
      <c r="F80" s="23"/>
      <c r="G80" s="19" t="str">
        <f aca="false">IFERROR(F80/D80,"")</f>
        <v/>
      </c>
      <c r="H80" s="20" t="str">
        <f aca="false">IFERROR(C80/F80,"")</f>
        <v/>
      </c>
      <c r="I80" s="20" t="str">
        <f aca="false">IFERROR(C80/D80*1000,"")</f>
        <v/>
      </c>
      <c r="J80" s="5"/>
      <c r="K80" s="20" t="str">
        <f aca="false">IFERROR(C80/J80,"")</f>
        <v/>
      </c>
      <c r="L80" s="19" t="str">
        <f aca="false">IFERROR(J80/F80,"")</f>
        <v/>
      </c>
      <c r="M80" s="5"/>
      <c r="N80" s="5"/>
      <c r="O80" s="24"/>
    </row>
    <row r="81" customFormat="false" ht="21.75" hidden="false" customHeight="true" outlineLevel="0" collapsed="false">
      <c r="A81" s="17"/>
      <c r="B81" s="11"/>
      <c r="C81" s="12"/>
      <c r="D81" s="18"/>
      <c r="E81" s="18"/>
      <c r="F81" s="18"/>
      <c r="G81" s="19" t="str">
        <f aca="false">IFERROR(F81/D81,"")</f>
        <v/>
      </c>
      <c r="H81" s="20" t="str">
        <f aca="false">IFERROR(C81/F81,"")</f>
        <v/>
      </c>
      <c r="I81" s="20" t="str">
        <f aca="false">IFERROR(C81/D81*1000,"")</f>
        <v/>
      </c>
      <c r="J81" s="11"/>
      <c r="K81" s="20" t="str">
        <f aca="false">IFERROR(C81/J81,"")</f>
        <v/>
      </c>
      <c r="L81" s="19" t="str">
        <f aca="false">IFERROR(J81/F81,"")</f>
        <v/>
      </c>
      <c r="M81" s="11"/>
      <c r="N81" s="11"/>
      <c r="O81" s="21"/>
    </row>
    <row r="82" customFormat="false" ht="21.75" hidden="false" customHeight="true" outlineLevel="0" collapsed="false">
      <c r="A82" s="22"/>
      <c r="B82" s="5"/>
      <c r="C82" s="7"/>
      <c r="D82" s="23"/>
      <c r="E82" s="23"/>
      <c r="F82" s="23"/>
      <c r="G82" s="19" t="str">
        <f aca="false">IFERROR(F82/D82,"")</f>
        <v/>
      </c>
      <c r="H82" s="20" t="str">
        <f aca="false">IFERROR(C82/F82,"")</f>
        <v/>
      </c>
      <c r="I82" s="20" t="str">
        <f aca="false">IFERROR(C82/D82*1000,"")</f>
        <v/>
      </c>
      <c r="J82" s="5"/>
      <c r="K82" s="20" t="str">
        <f aca="false">IFERROR(C82/J82,"")</f>
        <v/>
      </c>
      <c r="L82" s="19" t="str">
        <f aca="false">IFERROR(J82/F82,"")</f>
        <v/>
      </c>
      <c r="M82" s="5"/>
      <c r="N82" s="5"/>
      <c r="O82" s="24"/>
    </row>
    <row r="83" customFormat="false" ht="21.75" hidden="false" customHeight="true" outlineLevel="0" collapsed="false">
      <c r="A83" s="17"/>
      <c r="B83" s="11"/>
      <c r="C83" s="12"/>
      <c r="D83" s="18"/>
      <c r="E83" s="18"/>
      <c r="F83" s="18"/>
      <c r="G83" s="19" t="str">
        <f aca="false">IFERROR(F83/D83,"")</f>
        <v/>
      </c>
      <c r="H83" s="20" t="str">
        <f aca="false">IFERROR(C83/F83,"")</f>
        <v/>
      </c>
      <c r="I83" s="20" t="str">
        <f aca="false">IFERROR(C83/D83*1000,"")</f>
        <v/>
      </c>
      <c r="J83" s="11"/>
      <c r="K83" s="20" t="str">
        <f aca="false">IFERROR(C83/J83,"")</f>
        <v/>
      </c>
      <c r="L83" s="19" t="str">
        <f aca="false">IFERROR(J83/F83,"")</f>
        <v/>
      </c>
      <c r="M83" s="11"/>
      <c r="N83" s="11"/>
      <c r="O83" s="21"/>
    </row>
    <row r="84" customFormat="false" ht="21.75" hidden="false" customHeight="true" outlineLevel="0" collapsed="false">
      <c r="A84" s="22"/>
      <c r="B84" s="5"/>
      <c r="C84" s="7"/>
      <c r="D84" s="23"/>
      <c r="E84" s="23"/>
      <c r="F84" s="23"/>
      <c r="G84" s="19" t="str">
        <f aca="false">IFERROR(F84/D84,"")</f>
        <v/>
      </c>
      <c r="H84" s="20" t="str">
        <f aca="false">IFERROR(C84/F84,"")</f>
        <v/>
      </c>
      <c r="I84" s="20" t="str">
        <f aca="false">IFERROR(C84/D84*1000,"")</f>
        <v/>
      </c>
      <c r="J84" s="5"/>
      <c r="K84" s="20" t="str">
        <f aca="false">IFERROR(C84/J84,"")</f>
        <v/>
      </c>
      <c r="L84" s="19" t="str">
        <f aca="false">IFERROR(J84/F84,"")</f>
        <v/>
      </c>
      <c r="M84" s="5"/>
      <c r="N84" s="5"/>
      <c r="O84" s="24"/>
    </row>
    <row r="85" customFormat="false" ht="21.75" hidden="false" customHeight="true" outlineLevel="0" collapsed="false">
      <c r="A85" s="17"/>
      <c r="B85" s="11"/>
      <c r="C85" s="12"/>
      <c r="D85" s="18"/>
      <c r="E85" s="18"/>
      <c r="F85" s="18"/>
      <c r="G85" s="19" t="str">
        <f aca="false">IFERROR(F85/D85,"")</f>
        <v/>
      </c>
      <c r="H85" s="20" t="str">
        <f aca="false">IFERROR(C85/F85,"")</f>
        <v/>
      </c>
      <c r="I85" s="20" t="str">
        <f aca="false">IFERROR(C85/D85*1000,"")</f>
        <v/>
      </c>
      <c r="J85" s="11"/>
      <c r="K85" s="20" t="str">
        <f aca="false">IFERROR(C85/J85,"")</f>
        <v/>
      </c>
      <c r="L85" s="19" t="str">
        <f aca="false">IFERROR(J85/F85,"")</f>
        <v/>
      </c>
      <c r="M85" s="11"/>
      <c r="N85" s="11"/>
      <c r="O85" s="21"/>
    </row>
    <row r="86" customFormat="false" ht="21.75" hidden="false" customHeight="true" outlineLevel="0" collapsed="false">
      <c r="A86" s="22"/>
      <c r="B86" s="5"/>
      <c r="C86" s="7"/>
      <c r="D86" s="23"/>
      <c r="E86" s="23"/>
      <c r="F86" s="23"/>
      <c r="G86" s="19" t="str">
        <f aca="false">IFERROR(F86/D86,"")</f>
        <v/>
      </c>
      <c r="H86" s="20" t="str">
        <f aca="false">IFERROR(C86/F86,"")</f>
        <v/>
      </c>
      <c r="I86" s="20" t="str">
        <f aca="false">IFERROR(C86/D86*1000,"")</f>
        <v/>
      </c>
      <c r="J86" s="5"/>
      <c r="K86" s="20" t="str">
        <f aca="false">IFERROR(C86/J86,"")</f>
        <v/>
      </c>
      <c r="L86" s="19" t="str">
        <f aca="false">IFERROR(J86/F86,"")</f>
        <v/>
      </c>
      <c r="M86" s="5"/>
      <c r="N86" s="5"/>
      <c r="O86" s="24"/>
    </row>
    <row r="87" customFormat="false" ht="21.75" hidden="false" customHeight="true" outlineLevel="0" collapsed="false">
      <c r="A87" s="17"/>
      <c r="B87" s="11"/>
      <c r="C87" s="12"/>
      <c r="D87" s="18"/>
      <c r="E87" s="18"/>
      <c r="F87" s="18"/>
      <c r="G87" s="19" t="str">
        <f aca="false">IFERROR(F87/D87,"")</f>
        <v/>
      </c>
      <c r="H87" s="20" t="str">
        <f aca="false">IFERROR(C87/F87,"")</f>
        <v/>
      </c>
      <c r="I87" s="20" t="str">
        <f aca="false">IFERROR(C87/D87*1000,"")</f>
        <v/>
      </c>
      <c r="J87" s="11"/>
      <c r="K87" s="20" t="str">
        <f aca="false">IFERROR(C87/J87,"")</f>
        <v/>
      </c>
      <c r="L87" s="19" t="str">
        <f aca="false">IFERROR(J87/F87,"")</f>
        <v/>
      </c>
      <c r="M87" s="11"/>
      <c r="N87" s="11"/>
      <c r="O87" s="21"/>
    </row>
    <row r="88" customFormat="false" ht="21.75" hidden="false" customHeight="true" outlineLevel="0" collapsed="false">
      <c r="A88" s="22"/>
      <c r="B88" s="5"/>
      <c r="C88" s="7"/>
      <c r="D88" s="23"/>
      <c r="E88" s="23"/>
      <c r="F88" s="23"/>
      <c r="G88" s="19" t="str">
        <f aca="false">IFERROR(F88/D88,"")</f>
        <v/>
      </c>
      <c r="H88" s="20" t="str">
        <f aca="false">IFERROR(C88/F88,"")</f>
        <v/>
      </c>
      <c r="I88" s="20" t="str">
        <f aca="false">IFERROR(C88/D88*1000,"")</f>
        <v/>
      </c>
      <c r="J88" s="5"/>
      <c r="K88" s="20" t="str">
        <f aca="false">IFERROR(C88/J88,"")</f>
        <v/>
      </c>
      <c r="L88" s="19" t="str">
        <f aca="false">IFERROR(J88/F88,"")</f>
        <v/>
      </c>
      <c r="M88" s="5"/>
      <c r="N88" s="5"/>
      <c r="O88" s="24"/>
    </row>
    <row r="89" customFormat="false" ht="21.75" hidden="false" customHeight="true" outlineLevel="0" collapsed="false">
      <c r="A89" s="17"/>
      <c r="B89" s="11"/>
      <c r="C89" s="12"/>
      <c r="D89" s="18"/>
      <c r="E89" s="18"/>
      <c r="F89" s="18"/>
      <c r="G89" s="19" t="str">
        <f aca="false">IFERROR(F89/D89,"")</f>
        <v/>
      </c>
      <c r="H89" s="20" t="str">
        <f aca="false">IFERROR(C89/F89,"")</f>
        <v/>
      </c>
      <c r="I89" s="20" t="str">
        <f aca="false">IFERROR(C89/D89*1000,"")</f>
        <v/>
      </c>
      <c r="J89" s="11"/>
      <c r="K89" s="20" t="str">
        <f aca="false">IFERROR(C89/J89,"")</f>
        <v/>
      </c>
      <c r="L89" s="19" t="str">
        <f aca="false">IFERROR(J89/F89,"")</f>
        <v/>
      </c>
      <c r="M89" s="11"/>
      <c r="N89" s="11"/>
      <c r="O89" s="21"/>
    </row>
    <row r="90" customFormat="false" ht="21.75" hidden="false" customHeight="true" outlineLevel="0" collapsed="false">
      <c r="A90" s="22"/>
      <c r="B90" s="5"/>
      <c r="C90" s="7"/>
      <c r="D90" s="23"/>
      <c r="E90" s="23"/>
      <c r="F90" s="23"/>
      <c r="G90" s="19" t="str">
        <f aca="false">IFERROR(F90/D90,"")</f>
        <v/>
      </c>
      <c r="H90" s="20" t="str">
        <f aca="false">IFERROR(C90/F90,"")</f>
        <v/>
      </c>
      <c r="I90" s="20" t="str">
        <f aca="false">IFERROR(C90/D90*1000,"")</f>
        <v/>
      </c>
      <c r="J90" s="5"/>
      <c r="K90" s="20" t="str">
        <f aca="false">IFERROR(C90/J90,"")</f>
        <v/>
      </c>
      <c r="L90" s="19" t="str">
        <f aca="false">IFERROR(J90/F90,"")</f>
        <v/>
      </c>
      <c r="M90" s="5"/>
      <c r="N90" s="5"/>
      <c r="O90" s="24"/>
    </row>
    <row r="91" customFormat="false" ht="21.75" hidden="false" customHeight="true" outlineLevel="0" collapsed="false">
      <c r="A91" s="17"/>
      <c r="B91" s="11"/>
      <c r="C91" s="12"/>
      <c r="D91" s="18"/>
      <c r="E91" s="18"/>
      <c r="F91" s="18"/>
      <c r="G91" s="19" t="str">
        <f aca="false">IFERROR(F91/D91,"")</f>
        <v/>
      </c>
      <c r="H91" s="20" t="str">
        <f aca="false">IFERROR(C91/F91,"")</f>
        <v/>
      </c>
      <c r="I91" s="20" t="str">
        <f aca="false">IFERROR(C91/D91*1000,"")</f>
        <v/>
      </c>
      <c r="J91" s="11"/>
      <c r="K91" s="20" t="str">
        <f aca="false">IFERROR(C91/J91,"")</f>
        <v/>
      </c>
      <c r="L91" s="19" t="str">
        <f aca="false">IFERROR(J91/F91,"")</f>
        <v/>
      </c>
      <c r="M91" s="11"/>
      <c r="N91" s="11"/>
      <c r="O91" s="21"/>
    </row>
    <row r="92" customFormat="false" ht="21.75" hidden="false" customHeight="true" outlineLevel="0" collapsed="false">
      <c r="A92" s="22"/>
      <c r="B92" s="5"/>
      <c r="C92" s="7"/>
      <c r="D92" s="23"/>
      <c r="E92" s="23"/>
      <c r="F92" s="23"/>
      <c r="G92" s="19" t="str">
        <f aca="false">IFERROR(F92/D92,"")</f>
        <v/>
      </c>
      <c r="H92" s="20" t="str">
        <f aca="false">IFERROR(C92/F92,"")</f>
        <v/>
      </c>
      <c r="I92" s="20" t="str">
        <f aca="false">IFERROR(C92/D92*1000,"")</f>
        <v/>
      </c>
      <c r="J92" s="5"/>
      <c r="K92" s="20" t="str">
        <f aca="false">IFERROR(C92/J92,"")</f>
        <v/>
      </c>
      <c r="L92" s="19" t="str">
        <f aca="false">IFERROR(J92/F92,"")</f>
        <v/>
      </c>
      <c r="M92" s="5"/>
      <c r="N92" s="5"/>
      <c r="O92" s="24"/>
    </row>
    <row r="93" customFormat="false" ht="21.75" hidden="false" customHeight="true" outlineLevel="0" collapsed="false">
      <c r="A93" s="17"/>
      <c r="B93" s="11"/>
      <c r="C93" s="12"/>
      <c r="D93" s="18"/>
      <c r="E93" s="18"/>
      <c r="F93" s="18"/>
      <c r="G93" s="19" t="str">
        <f aca="false">IFERROR(F93/D93,"")</f>
        <v/>
      </c>
      <c r="H93" s="20" t="str">
        <f aca="false">IFERROR(C93/F93,"")</f>
        <v/>
      </c>
      <c r="I93" s="20" t="str">
        <f aca="false">IFERROR(C93/D93*1000,"")</f>
        <v/>
      </c>
      <c r="J93" s="11"/>
      <c r="K93" s="20" t="str">
        <f aca="false">IFERROR(C93/J93,"")</f>
        <v/>
      </c>
      <c r="L93" s="19" t="str">
        <f aca="false">IFERROR(J93/F93,"")</f>
        <v/>
      </c>
      <c r="M93" s="11"/>
      <c r="N93" s="11"/>
      <c r="O93" s="21"/>
    </row>
    <row r="94" customFormat="false" ht="21.75" hidden="false" customHeight="true" outlineLevel="0" collapsed="false">
      <c r="A94" s="22"/>
      <c r="B94" s="5"/>
      <c r="C94" s="7"/>
      <c r="D94" s="23"/>
      <c r="E94" s="23"/>
      <c r="F94" s="23"/>
      <c r="G94" s="19" t="str">
        <f aca="false">IFERROR(F94/D94,"")</f>
        <v/>
      </c>
      <c r="H94" s="20" t="str">
        <f aca="false">IFERROR(C94/F94,"")</f>
        <v/>
      </c>
      <c r="I94" s="20" t="str">
        <f aca="false">IFERROR(C94/D94*1000,"")</f>
        <v/>
      </c>
      <c r="J94" s="5"/>
      <c r="K94" s="20" t="str">
        <f aca="false">IFERROR(C94/J94,"")</f>
        <v/>
      </c>
      <c r="L94" s="19" t="str">
        <f aca="false">IFERROR(J94/F94,"")</f>
        <v/>
      </c>
      <c r="M94" s="5"/>
      <c r="N94" s="5"/>
      <c r="O94" s="24"/>
    </row>
    <row r="95" customFormat="false" ht="21.75" hidden="false" customHeight="true" outlineLevel="0" collapsed="false">
      <c r="A95" s="17"/>
      <c r="B95" s="11"/>
      <c r="C95" s="12"/>
      <c r="D95" s="18"/>
      <c r="E95" s="18"/>
      <c r="F95" s="18"/>
      <c r="G95" s="19" t="str">
        <f aca="false">IFERROR(F95/D95,"")</f>
        <v/>
      </c>
      <c r="H95" s="20" t="str">
        <f aca="false">IFERROR(C95/F95,"")</f>
        <v/>
      </c>
      <c r="I95" s="20" t="str">
        <f aca="false">IFERROR(C95/D95*1000,"")</f>
        <v/>
      </c>
      <c r="J95" s="11"/>
      <c r="K95" s="20" t="str">
        <f aca="false">IFERROR(C95/J95,"")</f>
        <v/>
      </c>
      <c r="L95" s="19" t="str">
        <f aca="false">IFERROR(J95/F95,"")</f>
        <v/>
      </c>
      <c r="M95" s="11"/>
      <c r="N95" s="11"/>
      <c r="O95" s="21"/>
    </row>
    <row r="96" customFormat="false" ht="21.75" hidden="false" customHeight="true" outlineLevel="0" collapsed="false">
      <c r="A96" s="22"/>
      <c r="B96" s="5"/>
      <c r="C96" s="7"/>
      <c r="D96" s="23"/>
      <c r="E96" s="23"/>
      <c r="F96" s="23"/>
      <c r="G96" s="19" t="str">
        <f aca="false">IFERROR(F96/D96,"")</f>
        <v/>
      </c>
      <c r="H96" s="20" t="str">
        <f aca="false">IFERROR(C96/F96,"")</f>
        <v/>
      </c>
      <c r="I96" s="20" t="str">
        <f aca="false">IFERROR(C96/D96*1000,"")</f>
        <v/>
      </c>
      <c r="J96" s="5"/>
      <c r="K96" s="20" t="str">
        <f aca="false">IFERROR(C96/J96,"")</f>
        <v/>
      </c>
      <c r="L96" s="19" t="str">
        <f aca="false">IFERROR(J96/F96,"")</f>
        <v/>
      </c>
      <c r="M96" s="5"/>
      <c r="N96" s="5"/>
      <c r="O96" s="24"/>
    </row>
    <row r="97" customFormat="false" ht="21.75" hidden="false" customHeight="true" outlineLevel="0" collapsed="false">
      <c r="A97" s="17"/>
      <c r="B97" s="11"/>
      <c r="C97" s="12"/>
      <c r="D97" s="18"/>
      <c r="E97" s="18"/>
      <c r="F97" s="18"/>
      <c r="G97" s="19" t="str">
        <f aca="false">IFERROR(F97/D97,"")</f>
        <v/>
      </c>
      <c r="H97" s="20" t="str">
        <f aca="false">IFERROR(C97/F97,"")</f>
        <v/>
      </c>
      <c r="I97" s="20" t="str">
        <f aca="false">IFERROR(C97/D97*1000,"")</f>
        <v/>
      </c>
      <c r="J97" s="11"/>
      <c r="K97" s="20" t="str">
        <f aca="false">IFERROR(C97/J97,"")</f>
        <v/>
      </c>
      <c r="L97" s="19" t="str">
        <f aca="false">IFERROR(J97/F97,"")</f>
        <v/>
      </c>
      <c r="M97" s="11"/>
      <c r="N97" s="11"/>
      <c r="O97" s="21"/>
    </row>
    <row r="98" customFormat="false" ht="21.75" hidden="false" customHeight="true" outlineLevel="0" collapsed="false">
      <c r="A98" s="22"/>
      <c r="B98" s="5"/>
      <c r="C98" s="7"/>
      <c r="D98" s="23"/>
      <c r="E98" s="23"/>
      <c r="F98" s="23"/>
      <c r="G98" s="19" t="str">
        <f aca="false">IFERROR(F98/D98,"")</f>
        <v/>
      </c>
      <c r="H98" s="20" t="str">
        <f aca="false">IFERROR(C98/F98,"")</f>
        <v/>
      </c>
      <c r="I98" s="20" t="str">
        <f aca="false">IFERROR(C98/D98*1000,"")</f>
        <v/>
      </c>
      <c r="J98" s="5"/>
      <c r="K98" s="20" t="str">
        <f aca="false">IFERROR(C98/J98,"")</f>
        <v/>
      </c>
      <c r="L98" s="19" t="str">
        <f aca="false">IFERROR(J98/F98,"")</f>
        <v/>
      </c>
      <c r="M98" s="5"/>
      <c r="N98" s="5"/>
      <c r="O98" s="24"/>
    </row>
    <row r="99" customFormat="false" ht="21.75" hidden="false" customHeight="true" outlineLevel="0" collapsed="false">
      <c r="A99" s="17"/>
      <c r="B99" s="11"/>
      <c r="C99" s="12"/>
      <c r="D99" s="18"/>
      <c r="E99" s="18"/>
      <c r="F99" s="18"/>
      <c r="G99" s="19" t="str">
        <f aca="false">IFERROR(F99/D99,"")</f>
        <v/>
      </c>
      <c r="H99" s="20" t="str">
        <f aca="false">IFERROR(C99/F99,"")</f>
        <v/>
      </c>
      <c r="I99" s="20" t="str">
        <f aca="false">IFERROR(C99/D99*1000,"")</f>
        <v/>
      </c>
      <c r="J99" s="11"/>
      <c r="K99" s="20" t="str">
        <f aca="false">IFERROR(C99/J99,"")</f>
        <v/>
      </c>
      <c r="L99" s="19" t="str">
        <f aca="false">IFERROR(J99/F99,"")</f>
        <v/>
      </c>
      <c r="M99" s="11"/>
      <c r="N99" s="11"/>
      <c r="O99" s="21"/>
    </row>
    <row r="100" customFormat="false" ht="21.75" hidden="false" customHeight="true" outlineLevel="0" collapsed="false">
      <c r="A100" s="22"/>
      <c r="B100" s="5"/>
      <c r="C100" s="7"/>
      <c r="D100" s="23"/>
      <c r="E100" s="23"/>
      <c r="F100" s="23"/>
      <c r="G100" s="19" t="str">
        <f aca="false">IFERROR(F100/D100,"")</f>
        <v/>
      </c>
      <c r="H100" s="20" t="str">
        <f aca="false">IFERROR(C100/F100,"")</f>
        <v/>
      </c>
      <c r="I100" s="20" t="str">
        <f aca="false">IFERROR(C100/D100*1000,"")</f>
        <v/>
      </c>
      <c r="J100" s="5"/>
      <c r="K100" s="20" t="str">
        <f aca="false">IFERROR(C100/J100,"")</f>
        <v/>
      </c>
      <c r="L100" s="19" t="str">
        <f aca="false">IFERROR(J100/F100,"")</f>
        <v/>
      </c>
      <c r="M100" s="5"/>
      <c r="N100" s="5"/>
      <c r="O100" s="24"/>
    </row>
    <row r="101" customFormat="false" ht="21.75" hidden="false" customHeight="true" outlineLevel="0" collapsed="false">
      <c r="A101" s="17"/>
      <c r="B101" s="11"/>
      <c r="C101" s="12"/>
      <c r="D101" s="18"/>
      <c r="E101" s="18"/>
      <c r="F101" s="18"/>
      <c r="G101" s="19" t="str">
        <f aca="false">IFERROR(F101/D101,"")</f>
        <v/>
      </c>
      <c r="H101" s="20" t="str">
        <f aca="false">IFERROR(C101/F101,"")</f>
        <v/>
      </c>
      <c r="I101" s="20" t="str">
        <f aca="false">IFERROR(C101/D101*1000,"")</f>
        <v/>
      </c>
      <c r="J101" s="11"/>
      <c r="K101" s="20" t="str">
        <f aca="false">IFERROR(C101/J101,"")</f>
        <v/>
      </c>
      <c r="L101" s="19" t="str">
        <f aca="false">IFERROR(J101/F101,"")</f>
        <v/>
      </c>
      <c r="M101" s="11"/>
      <c r="N101" s="11"/>
      <c r="O101" s="21"/>
    </row>
    <row r="102" customFormat="false" ht="21.75" hidden="false" customHeight="true" outlineLevel="0" collapsed="false">
      <c r="A102" s="22"/>
      <c r="B102" s="5"/>
      <c r="C102" s="7"/>
      <c r="D102" s="23"/>
      <c r="E102" s="23"/>
      <c r="F102" s="23"/>
      <c r="G102" s="19" t="str">
        <f aca="false">IFERROR(F102/D102,"")</f>
        <v/>
      </c>
      <c r="H102" s="20" t="str">
        <f aca="false">IFERROR(C102/F102,"")</f>
        <v/>
      </c>
      <c r="I102" s="20" t="str">
        <f aca="false">IFERROR(C102/D102*1000,"")</f>
        <v/>
      </c>
      <c r="J102" s="5"/>
      <c r="K102" s="20" t="str">
        <f aca="false">IFERROR(C102/J102,"")</f>
        <v/>
      </c>
      <c r="L102" s="19" t="str">
        <f aca="false">IFERROR(J102/F102,"")</f>
        <v/>
      </c>
      <c r="M102" s="5"/>
      <c r="N102" s="5"/>
      <c r="O102" s="24"/>
    </row>
    <row r="103" customFormat="false" ht="21.75" hidden="false" customHeight="true" outlineLevel="0" collapsed="false">
      <c r="A103" s="17"/>
      <c r="B103" s="11"/>
      <c r="C103" s="12"/>
      <c r="D103" s="18"/>
      <c r="E103" s="18"/>
      <c r="F103" s="18"/>
      <c r="G103" s="19" t="str">
        <f aca="false">IFERROR(F103/D103,"")</f>
        <v/>
      </c>
      <c r="H103" s="20" t="str">
        <f aca="false">IFERROR(C103/F103,"")</f>
        <v/>
      </c>
      <c r="I103" s="20" t="str">
        <f aca="false">IFERROR(C103/D103*1000,"")</f>
        <v/>
      </c>
      <c r="J103" s="11"/>
      <c r="K103" s="20" t="str">
        <f aca="false">IFERROR(C103/J103,"")</f>
        <v/>
      </c>
      <c r="L103" s="19" t="str">
        <f aca="false">IFERROR(J103/F103,"")</f>
        <v/>
      </c>
      <c r="M103" s="11"/>
      <c r="N103" s="11"/>
      <c r="O103" s="21"/>
    </row>
    <row r="104" customFormat="false" ht="21.75" hidden="false" customHeight="true" outlineLevel="0" collapsed="false">
      <c r="A104" s="22"/>
      <c r="B104" s="5"/>
      <c r="C104" s="7"/>
      <c r="D104" s="23"/>
      <c r="E104" s="23"/>
      <c r="F104" s="23"/>
      <c r="G104" s="19" t="str">
        <f aca="false">IFERROR(F104/D104,"")</f>
        <v/>
      </c>
      <c r="H104" s="20" t="str">
        <f aca="false">IFERROR(C104/F104,"")</f>
        <v/>
      </c>
      <c r="I104" s="20" t="str">
        <f aca="false">IFERROR(C104/D104*1000,"")</f>
        <v/>
      </c>
      <c r="J104" s="5"/>
      <c r="K104" s="20" t="str">
        <f aca="false">IFERROR(C104/J104,"")</f>
        <v/>
      </c>
      <c r="L104" s="19" t="str">
        <f aca="false">IFERROR(J104/F104,"")</f>
        <v/>
      </c>
      <c r="M104" s="5"/>
      <c r="N104" s="5"/>
      <c r="O104" s="24"/>
    </row>
    <row r="105" customFormat="false" ht="21.75" hidden="false" customHeight="true" outlineLevel="0" collapsed="false">
      <c r="A105" s="17"/>
      <c r="B105" s="11"/>
      <c r="C105" s="12"/>
      <c r="D105" s="18"/>
      <c r="E105" s="18"/>
      <c r="F105" s="18"/>
      <c r="G105" s="19" t="str">
        <f aca="false">IFERROR(F105/D105,"")</f>
        <v/>
      </c>
      <c r="H105" s="20" t="str">
        <f aca="false">IFERROR(C105/F105,"")</f>
        <v/>
      </c>
      <c r="I105" s="20" t="str">
        <f aca="false">IFERROR(C105/D105*1000,"")</f>
        <v/>
      </c>
      <c r="J105" s="11"/>
      <c r="K105" s="20" t="str">
        <f aca="false">IFERROR(C105/J105,"")</f>
        <v/>
      </c>
      <c r="L105" s="19" t="str">
        <f aca="false">IFERROR(J105/F105,"")</f>
        <v/>
      </c>
      <c r="M105" s="11"/>
      <c r="N105" s="11"/>
      <c r="O105" s="21"/>
    </row>
    <row r="106" customFormat="false" ht="21.75" hidden="false" customHeight="true" outlineLevel="0" collapsed="false">
      <c r="A106" s="22"/>
      <c r="B106" s="5"/>
      <c r="C106" s="7"/>
      <c r="D106" s="23"/>
      <c r="E106" s="23"/>
      <c r="F106" s="23"/>
      <c r="G106" s="19" t="str">
        <f aca="false">IFERROR(F106/D106,"")</f>
        <v/>
      </c>
      <c r="H106" s="20" t="str">
        <f aca="false">IFERROR(C106/F106,"")</f>
        <v/>
      </c>
      <c r="I106" s="20" t="str">
        <f aca="false">IFERROR(C106/D106*1000,"")</f>
        <v/>
      </c>
      <c r="J106" s="5"/>
      <c r="K106" s="20" t="str">
        <f aca="false">IFERROR(C106/J106,"")</f>
        <v/>
      </c>
      <c r="L106" s="19" t="str">
        <f aca="false">IFERROR(J106/F106,"")</f>
        <v/>
      </c>
      <c r="M106" s="5"/>
      <c r="N106" s="5"/>
      <c r="O106" s="24"/>
    </row>
    <row r="107" customFormat="false" ht="21.75" hidden="false" customHeight="true" outlineLevel="0" collapsed="false">
      <c r="A107" s="17"/>
      <c r="B107" s="11"/>
      <c r="C107" s="12"/>
      <c r="D107" s="18"/>
      <c r="E107" s="18"/>
      <c r="F107" s="18"/>
      <c r="G107" s="19" t="str">
        <f aca="false">IFERROR(F107/D107,"")</f>
        <v/>
      </c>
      <c r="H107" s="20" t="str">
        <f aca="false">IFERROR(C107/F107,"")</f>
        <v/>
      </c>
      <c r="I107" s="20" t="str">
        <f aca="false">IFERROR(C107/D107*1000,"")</f>
        <v/>
      </c>
      <c r="J107" s="11"/>
      <c r="K107" s="20" t="str">
        <f aca="false">IFERROR(C107/J107,"")</f>
        <v/>
      </c>
      <c r="L107" s="19" t="str">
        <f aca="false">IFERROR(J107/F107,"")</f>
        <v/>
      </c>
      <c r="M107" s="11"/>
      <c r="N107" s="11"/>
      <c r="O107" s="21"/>
    </row>
    <row r="108" customFormat="false" ht="21.75" hidden="false" customHeight="true" outlineLevel="0" collapsed="false">
      <c r="A108" s="22"/>
      <c r="B108" s="5"/>
      <c r="C108" s="7"/>
      <c r="D108" s="23"/>
      <c r="E108" s="23"/>
      <c r="F108" s="23"/>
      <c r="G108" s="19" t="str">
        <f aca="false">IFERROR(F108/D108,"")</f>
        <v/>
      </c>
      <c r="H108" s="20" t="str">
        <f aca="false">IFERROR(C108/F108,"")</f>
        <v/>
      </c>
      <c r="I108" s="20" t="str">
        <f aca="false">IFERROR(C108/D108*1000,"")</f>
        <v/>
      </c>
      <c r="J108" s="5"/>
      <c r="K108" s="20" t="str">
        <f aca="false">IFERROR(C108/J108,"")</f>
        <v/>
      </c>
      <c r="L108" s="19" t="str">
        <f aca="false">IFERROR(J108/F108,"")</f>
        <v/>
      </c>
      <c r="M108" s="5"/>
      <c r="N108" s="5"/>
      <c r="O108" s="24"/>
    </row>
    <row r="109" customFormat="false" ht="21.75" hidden="false" customHeight="true" outlineLevel="0" collapsed="false">
      <c r="A109" s="17"/>
      <c r="B109" s="11"/>
      <c r="C109" s="12"/>
      <c r="D109" s="18"/>
      <c r="E109" s="18"/>
      <c r="F109" s="18"/>
      <c r="G109" s="19" t="str">
        <f aca="false">IFERROR(F109/D109,"")</f>
        <v/>
      </c>
      <c r="H109" s="20" t="str">
        <f aca="false">IFERROR(C109/F109,"")</f>
        <v/>
      </c>
      <c r="I109" s="20" t="str">
        <f aca="false">IFERROR(C109/D109*1000,"")</f>
        <v/>
      </c>
      <c r="J109" s="11"/>
      <c r="K109" s="20" t="str">
        <f aca="false">IFERROR(C109/J109,"")</f>
        <v/>
      </c>
      <c r="L109" s="19" t="str">
        <f aca="false">IFERROR(J109/F109,"")</f>
        <v/>
      </c>
      <c r="M109" s="11"/>
      <c r="N109" s="11"/>
      <c r="O109" s="21"/>
    </row>
    <row r="110" customFormat="false" ht="21.75" hidden="false" customHeight="true" outlineLevel="0" collapsed="false">
      <c r="A110" s="22"/>
      <c r="B110" s="5"/>
      <c r="C110" s="7"/>
      <c r="D110" s="23"/>
      <c r="E110" s="23"/>
      <c r="F110" s="23"/>
      <c r="G110" s="19" t="str">
        <f aca="false">IFERROR(F110/D110,"")</f>
        <v/>
      </c>
      <c r="H110" s="20" t="str">
        <f aca="false">IFERROR(C110/F110,"")</f>
        <v/>
      </c>
      <c r="I110" s="20" t="str">
        <f aca="false">IFERROR(C110/D110*1000,"")</f>
        <v/>
      </c>
      <c r="J110" s="5"/>
      <c r="K110" s="20" t="str">
        <f aca="false">IFERROR(C110/J110,"")</f>
        <v/>
      </c>
      <c r="L110" s="19" t="str">
        <f aca="false">IFERROR(J110/F110,"")</f>
        <v/>
      </c>
      <c r="M110" s="5"/>
      <c r="N110" s="5"/>
      <c r="O110" s="24"/>
    </row>
    <row r="111" customFormat="false" ht="21.75" hidden="false" customHeight="true" outlineLevel="0" collapsed="false">
      <c r="A111" s="17"/>
      <c r="B111" s="11"/>
      <c r="C111" s="12"/>
      <c r="D111" s="18"/>
      <c r="E111" s="18"/>
      <c r="F111" s="18"/>
      <c r="G111" s="19" t="str">
        <f aca="false">IFERROR(F111/D111,"")</f>
        <v/>
      </c>
      <c r="H111" s="20" t="str">
        <f aca="false">IFERROR(C111/F111,"")</f>
        <v/>
      </c>
      <c r="I111" s="20" t="str">
        <f aca="false">IFERROR(C111/D111*1000,"")</f>
        <v/>
      </c>
      <c r="J111" s="11"/>
      <c r="K111" s="20" t="str">
        <f aca="false">IFERROR(C111/J111,"")</f>
        <v/>
      </c>
      <c r="L111" s="19" t="str">
        <f aca="false">IFERROR(J111/F111,"")</f>
        <v/>
      </c>
      <c r="M111" s="11"/>
      <c r="N111" s="11"/>
      <c r="O111" s="21"/>
    </row>
    <row r="112" customFormat="false" ht="21.75" hidden="false" customHeight="true" outlineLevel="0" collapsed="false">
      <c r="A112" s="22"/>
      <c r="B112" s="5"/>
      <c r="C112" s="7"/>
      <c r="D112" s="23"/>
      <c r="E112" s="23"/>
      <c r="F112" s="23"/>
      <c r="G112" s="19" t="str">
        <f aca="false">IFERROR(F112/D112,"")</f>
        <v/>
      </c>
      <c r="H112" s="20" t="str">
        <f aca="false">IFERROR(C112/F112,"")</f>
        <v/>
      </c>
      <c r="I112" s="20" t="str">
        <f aca="false">IFERROR(C112/D112*1000,"")</f>
        <v/>
      </c>
      <c r="J112" s="5"/>
      <c r="K112" s="20" t="str">
        <f aca="false">IFERROR(C112/J112,"")</f>
        <v/>
      </c>
      <c r="L112" s="19" t="str">
        <f aca="false">IFERROR(J112/F112,"")</f>
        <v/>
      </c>
      <c r="M112" s="5"/>
      <c r="N112" s="5"/>
      <c r="O112" s="24"/>
    </row>
    <row r="113" customFormat="false" ht="21.75" hidden="false" customHeight="true" outlineLevel="0" collapsed="false">
      <c r="A113" s="17"/>
      <c r="B113" s="11"/>
      <c r="C113" s="12"/>
      <c r="D113" s="18"/>
      <c r="E113" s="18"/>
      <c r="F113" s="18"/>
      <c r="G113" s="19" t="str">
        <f aca="false">IFERROR(F113/D113,"")</f>
        <v/>
      </c>
      <c r="H113" s="20" t="str">
        <f aca="false">IFERROR(C113/F113,"")</f>
        <v/>
      </c>
      <c r="I113" s="20" t="str">
        <f aca="false">IFERROR(C113/D113*1000,"")</f>
        <v/>
      </c>
      <c r="J113" s="11"/>
      <c r="K113" s="20" t="str">
        <f aca="false">IFERROR(C113/J113,"")</f>
        <v/>
      </c>
      <c r="L113" s="19" t="str">
        <f aca="false">IFERROR(J113/F113,"")</f>
        <v/>
      </c>
      <c r="M113" s="11"/>
      <c r="N113" s="11"/>
      <c r="O113" s="21"/>
    </row>
    <row r="114" customFormat="false" ht="21.75" hidden="false" customHeight="true" outlineLevel="0" collapsed="false">
      <c r="A114" s="22"/>
      <c r="B114" s="5"/>
      <c r="C114" s="7"/>
      <c r="D114" s="23"/>
      <c r="E114" s="23"/>
      <c r="F114" s="23"/>
      <c r="G114" s="19" t="str">
        <f aca="false">IFERROR(F114/D114,"")</f>
        <v/>
      </c>
      <c r="H114" s="20" t="str">
        <f aca="false">IFERROR(C114/F114,"")</f>
        <v/>
      </c>
      <c r="I114" s="20" t="str">
        <f aca="false">IFERROR(C114/D114*1000,"")</f>
        <v/>
      </c>
      <c r="J114" s="5"/>
      <c r="K114" s="20" t="str">
        <f aca="false">IFERROR(C114/J114,"")</f>
        <v/>
      </c>
      <c r="L114" s="19" t="str">
        <f aca="false">IFERROR(J114/F114,"")</f>
        <v/>
      </c>
      <c r="M114" s="5"/>
      <c r="N114" s="5"/>
      <c r="O114" s="24"/>
    </row>
    <row r="115" customFormat="false" ht="21.75" hidden="false" customHeight="true" outlineLevel="0" collapsed="false">
      <c r="A115" s="17"/>
      <c r="B115" s="11"/>
      <c r="C115" s="12"/>
      <c r="D115" s="18"/>
      <c r="E115" s="18"/>
      <c r="F115" s="18"/>
      <c r="G115" s="19" t="str">
        <f aca="false">IFERROR(F115/D115,"")</f>
        <v/>
      </c>
      <c r="H115" s="20" t="str">
        <f aca="false">IFERROR(C115/F115,"")</f>
        <v/>
      </c>
      <c r="I115" s="20" t="str">
        <f aca="false">IFERROR(C115/D115*1000,"")</f>
        <v/>
      </c>
      <c r="J115" s="11"/>
      <c r="K115" s="20" t="str">
        <f aca="false">IFERROR(C115/J115,"")</f>
        <v/>
      </c>
      <c r="L115" s="19" t="str">
        <f aca="false">IFERROR(J115/F115,"")</f>
        <v/>
      </c>
      <c r="M115" s="11"/>
      <c r="N115" s="11"/>
      <c r="O115" s="21"/>
    </row>
    <row r="116" customFormat="false" ht="21.75" hidden="false" customHeight="true" outlineLevel="0" collapsed="false">
      <c r="A116" s="22"/>
      <c r="B116" s="5"/>
      <c r="C116" s="7"/>
      <c r="D116" s="23"/>
      <c r="E116" s="23"/>
      <c r="F116" s="23"/>
      <c r="G116" s="19" t="str">
        <f aca="false">IFERROR(F116/D116,"")</f>
        <v/>
      </c>
      <c r="H116" s="20" t="str">
        <f aca="false">IFERROR(C116/F116,"")</f>
        <v/>
      </c>
      <c r="I116" s="20" t="str">
        <f aca="false">IFERROR(C116/D116*1000,"")</f>
        <v/>
      </c>
      <c r="J116" s="5"/>
      <c r="K116" s="20" t="str">
        <f aca="false">IFERROR(C116/J116,"")</f>
        <v/>
      </c>
      <c r="L116" s="19" t="str">
        <f aca="false">IFERROR(J116/F116,"")</f>
        <v/>
      </c>
      <c r="M116" s="5"/>
      <c r="N116" s="5"/>
      <c r="O116" s="24"/>
    </row>
    <row r="117" customFormat="false" ht="21.75" hidden="false" customHeight="true" outlineLevel="0" collapsed="false">
      <c r="A117" s="17"/>
      <c r="B117" s="11"/>
      <c r="C117" s="12"/>
      <c r="D117" s="18"/>
      <c r="E117" s="18"/>
      <c r="F117" s="18"/>
      <c r="G117" s="19" t="str">
        <f aca="false">IFERROR(F117/D117,"")</f>
        <v/>
      </c>
      <c r="H117" s="20" t="str">
        <f aca="false">IFERROR(C117/F117,"")</f>
        <v/>
      </c>
      <c r="I117" s="20" t="str">
        <f aca="false">IFERROR(C117/D117*1000,"")</f>
        <v/>
      </c>
      <c r="J117" s="11"/>
      <c r="K117" s="20" t="str">
        <f aca="false">IFERROR(C117/J117,"")</f>
        <v/>
      </c>
      <c r="L117" s="19" t="str">
        <f aca="false">IFERROR(J117/F117,"")</f>
        <v/>
      </c>
      <c r="M117" s="11"/>
      <c r="N117" s="11"/>
      <c r="O117" s="21"/>
    </row>
    <row r="118" customFormat="false" ht="21.75" hidden="false" customHeight="true" outlineLevel="0" collapsed="false">
      <c r="A118" s="22"/>
      <c r="B118" s="5"/>
      <c r="C118" s="7"/>
      <c r="D118" s="23"/>
      <c r="E118" s="23"/>
      <c r="F118" s="23"/>
      <c r="G118" s="19" t="str">
        <f aca="false">IFERROR(F118/D118,"")</f>
        <v/>
      </c>
      <c r="H118" s="20" t="str">
        <f aca="false">IFERROR(C118/F118,"")</f>
        <v/>
      </c>
      <c r="I118" s="20" t="str">
        <f aca="false">IFERROR(C118/D118*1000,"")</f>
        <v/>
      </c>
      <c r="J118" s="5"/>
      <c r="K118" s="20" t="str">
        <f aca="false">IFERROR(C118/J118,"")</f>
        <v/>
      </c>
      <c r="L118" s="19" t="str">
        <f aca="false">IFERROR(J118/F118,"")</f>
        <v/>
      </c>
      <c r="M118" s="5"/>
      <c r="N118" s="5"/>
      <c r="O118" s="24"/>
    </row>
    <row r="119" customFormat="false" ht="21.75" hidden="false" customHeight="true" outlineLevel="0" collapsed="false">
      <c r="A119" s="17"/>
      <c r="B119" s="11"/>
      <c r="C119" s="12"/>
      <c r="D119" s="18"/>
      <c r="E119" s="18"/>
      <c r="F119" s="18"/>
      <c r="G119" s="19" t="str">
        <f aca="false">IFERROR(F119/D119,"")</f>
        <v/>
      </c>
      <c r="H119" s="20" t="str">
        <f aca="false">IFERROR(C119/F119,"")</f>
        <v/>
      </c>
      <c r="I119" s="20" t="str">
        <f aca="false">IFERROR(C119/D119*1000,"")</f>
        <v/>
      </c>
      <c r="J119" s="11"/>
      <c r="K119" s="20" t="str">
        <f aca="false">IFERROR(C119/J119,"")</f>
        <v/>
      </c>
      <c r="L119" s="19" t="str">
        <f aca="false">IFERROR(J119/F119,"")</f>
        <v/>
      </c>
      <c r="M119" s="11"/>
      <c r="N119" s="11"/>
      <c r="O119" s="21"/>
    </row>
    <row r="120" customFormat="false" ht="21.75" hidden="false" customHeight="true" outlineLevel="0" collapsed="false">
      <c r="A120" s="22"/>
      <c r="B120" s="5"/>
      <c r="C120" s="7"/>
      <c r="D120" s="23"/>
      <c r="E120" s="23"/>
      <c r="F120" s="23"/>
      <c r="G120" s="19" t="str">
        <f aca="false">IFERROR(F120/D120,"")</f>
        <v/>
      </c>
      <c r="H120" s="20" t="str">
        <f aca="false">IFERROR(C120/F120,"")</f>
        <v/>
      </c>
      <c r="I120" s="20" t="str">
        <f aca="false">IFERROR(C120/D120*1000,"")</f>
        <v/>
      </c>
      <c r="J120" s="5"/>
      <c r="K120" s="20" t="str">
        <f aca="false">IFERROR(C120/J120,"")</f>
        <v/>
      </c>
      <c r="L120" s="19" t="str">
        <f aca="false">IFERROR(J120/F120,"")</f>
        <v/>
      </c>
      <c r="M120" s="5"/>
      <c r="N120" s="5"/>
      <c r="O120" s="24"/>
    </row>
    <row r="121" customFormat="false" ht="21.75" hidden="false" customHeight="true" outlineLevel="0" collapsed="false">
      <c r="A121" s="17"/>
      <c r="B121" s="11"/>
      <c r="C121" s="12"/>
      <c r="D121" s="18"/>
      <c r="E121" s="18"/>
      <c r="F121" s="18"/>
      <c r="G121" s="19" t="str">
        <f aca="false">IFERROR(F121/D121,"")</f>
        <v/>
      </c>
      <c r="H121" s="20" t="str">
        <f aca="false">IFERROR(C121/F121,"")</f>
        <v/>
      </c>
      <c r="I121" s="20" t="str">
        <f aca="false">IFERROR(C121/D121*1000,"")</f>
        <v/>
      </c>
      <c r="J121" s="11"/>
      <c r="K121" s="20" t="str">
        <f aca="false">IFERROR(C121/J121,"")</f>
        <v/>
      </c>
      <c r="L121" s="19" t="str">
        <f aca="false">IFERROR(J121/F121,"")</f>
        <v/>
      </c>
      <c r="M121" s="11"/>
      <c r="N121" s="11"/>
      <c r="O121" s="21"/>
    </row>
    <row r="122" customFormat="false" ht="21.75" hidden="false" customHeight="true" outlineLevel="0" collapsed="false">
      <c r="A122" s="22"/>
      <c r="B122" s="5"/>
      <c r="C122" s="7"/>
      <c r="D122" s="23"/>
      <c r="E122" s="23"/>
      <c r="F122" s="23"/>
      <c r="G122" s="19" t="str">
        <f aca="false">IFERROR(F122/D122,"")</f>
        <v/>
      </c>
      <c r="H122" s="20" t="str">
        <f aca="false">IFERROR(C122/F122,"")</f>
        <v/>
      </c>
      <c r="I122" s="20" t="str">
        <f aca="false">IFERROR(C122/D122*1000,"")</f>
        <v/>
      </c>
      <c r="J122" s="5"/>
      <c r="K122" s="20" t="str">
        <f aca="false">IFERROR(C122/J122,"")</f>
        <v/>
      </c>
      <c r="L122" s="19" t="str">
        <f aca="false">IFERROR(J122/F122,"")</f>
        <v/>
      </c>
      <c r="M122" s="5"/>
      <c r="N122" s="5"/>
      <c r="O122" s="24"/>
    </row>
    <row r="123" customFormat="false" ht="21.75" hidden="false" customHeight="true" outlineLevel="0" collapsed="false">
      <c r="A123" s="17"/>
      <c r="B123" s="11"/>
      <c r="C123" s="12"/>
      <c r="D123" s="18"/>
      <c r="E123" s="18"/>
      <c r="F123" s="18"/>
      <c r="G123" s="19" t="str">
        <f aca="false">IFERROR(F123/D123,"")</f>
        <v/>
      </c>
      <c r="H123" s="20" t="str">
        <f aca="false">IFERROR(C123/F123,"")</f>
        <v/>
      </c>
      <c r="I123" s="20" t="str">
        <f aca="false">IFERROR(C123/D123*1000,"")</f>
        <v/>
      </c>
      <c r="J123" s="11"/>
      <c r="K123" s="20" t="str">
        <f aca="false">IFERROR(C123/J123,"")</f>
        <v/>
      </c>
      <c r="L123" s="19" t="str">
        <f aca="false">IFERROR(J123/F123,"")</f>
        <v/>
      </c>
      <c r="M123" s="11"/>
      <c r="N123" s="11"/>
      <c r="O123" s="21"/>
    </row>
    <row r="124" customFormat="false" ht="21.75" hidden="false" customHeight="true" outlineLevel="0" collapsed="false">
      <c r="A124" s="22"/>
      <c r="B124" s="5"/>
      <c r="C124" s="7"/>
      <c r="D124" s="23"/>
      <c r="E124" s="23"/>
      <c r="F124" s="23"/>
      <c r="G124" s="19" t="str">
        <f aca="false">IFERROR(F124/D124,"")</f>
        <v/>
      </c>
      <c r="H124" s="20" t="str">
        <f aca="false">IFERROR(C124/F124,"")</f>
        <v/>
      </c>
      <c r="I124" s="20" t="str">
        <f aca="false">IFERROR(C124/D124*1000,"")</f>
        <v/>
      </c>
      <c r="J124" s="5"/>
      <c r="K124" s="20" t="str">
        <f aca="false">IFERROR(C124/J124,"")</f>
        <v/>
      </c>
      <c r="L124" s="19" t="str">
        <f aca="false">IFERROR(J124/F124,"")</f>
        <v/>
      </c>
      <c r="M124" s="5"/>
      <c r="N124" s="5"/>
      <c r="O124" s="24"/>
    </row>
    <row r="125" customFormat="false" ht="21.75" hidden="false" customHeight="true" outlineLevel="0" collapsed="false">
      <c r="A125" s="17"/>
      <c r="B125" s="11"/>
      <c r="C125" s="12"/>
      <c r="D125" s="18"/>
      <c r="E125" s="18"/>
      <c r="F125" s="18"/>
      <c r="G125" s="19" t="str">
        <f aca="false">IFERROR(F125/D125,"")</f>
        <v/>
      </c>
      <c r="H125" s="20" t="str">
        <f aca="false">IFERROR(C125/F125,"")</f>
        <v/>
      </c>
      <c r="I125" s="20" t="str">
        <f aca="false">IFERROR(C125/D125*1000,"")</f>
        <v/>
      </c>
      <c r="J125" s="11"/>
      <c r="K125" s="20" t="str">
        <f aca="false">IFERROR(C125/J125,"")</f>
        <v/>
      </c>
      <c r="L125" s="19" t="str">
        <f aca="false">IFERROR(J125/F125,"")</f>
        <v/>
      </c>
      <c r="M125" s="11"/>
      <c r="N125" s="11"/>
      <c r="O125" s="21"/>
    </row>
    <row r="126" customFormat="false" ht="21.75" hidden="false" customHeight="true" outlineLevel="0" collapsed="false">
      <c r="A126" s="22"/>
      <c r="B126" s="5"/>
      <c r="C126" s="7"/>
      <c r="D126" s="23"/>
      <c r="E126" s="23"/>
      <c r="F126" s="23"/>
      <c r="G126" s="19" t="str">
        <f aca="false">IFERROR(F126/D126,"")</f>
        <v/>
      </c>
      <c r="H126" s="20" t="str">
        <f aca="false">IFERROR(C126/F126,"")</f>
        <v/>
      </c>
      <c r="I126" s="20" t="str">
        <f aca="false">IFERROR(C126/D126*1000,"")</f>
        <v/>
      </c>
      <c r="J126" s="5"/>
      <c r="K126" s="20" t="str">
        <f aca="false">IFERROR(C126/J126,"")</f>
        <v/>
      </c>
      <c r="L126" s="19" t="str">
        <f aca="false">IFERROR(J126/F126,"")</f>
        <v/>
      </c>
      <c r="M126" s="5"/>
      <c r="N126" s="5"/>
      <c r="O126" s="24"/>
    </row>
    <row r="127" customFormat="false" ht="21.75" hidden="false" customHeight="true" outlineLevel="0" collapsed="false">
      <c r="A127" s="17"/>
      <c r="B127" s="11"/>
      <c r="C127" s="12"/>
      <c r="D127" s="18"/>
      <c r="E127" s="18"/>
      <c r="F127" s="18"/>
      <c r="G127" s="19" t="str">
        <f aca="false">IFERROR(F127/D127,"")</f>
        <v/>
      </c>
      <c r="H127" s="20" t="str">
        <f aca="false">IFERROR(C127/F127,"")</f>
        <v/>
      </c>
      <c r="I127" s="20" t="str">
        <f aca="false">IFERROR(C127/D127*1000,"")</f>
        <v/>
      </c>
      <c r="J127" s="11"/>
      <c r="K127" s="20" t="str">
        <f aca="false">IFERROR(C127/J127,"")</f>
        <v/>
      </c>
      <c r="L127" s="19" t="str">
        <f aca="false">IFERROR(J127/F127,"")</f>
        <v/>
      </c>
      <c r="M127" s="11"/>
      <c r="N127" s="11"/>
      <c r="O127" s="21"/>
    </row>
    <row r="128" customFormat="false" ht="21.75" hidden="false" customHeight="true" outlineLevel="0" collapsed="false">
      <c r="A128" s="22"/>
      <c r="B128" s="5"/>
      <c r="C128" s="7"/>
      <c r="D128" s="23"/>
      <c r="E128" s="23"/>
      <c r="F128" s="23"/>
      <c r="G128" s="19" t="str">
        <f aca="false">IFERROR(F128/D128,"")</f>
        <v/>
      </c>
      <c r="H128" s="20" t="str">
        <f aca="false">IFERROR(C128/F128,"")</f>
        <v/>
      </c>
      <c r="I128" s="20" t="str">
        <f aca="false">IFERROR(C128/D128*1000,"")</f>
        <v/>
      </c>
      <c r="J128" s="5"/>
      <c r="K128" s="20" t="str">
        <f aca="false">IFERROR(C128/J128,"")</f>
        <v/>
      </c>
      <c r="L128" s="19" t="str">
        <f aca="false">IFERROR(J128/F128,"")</f>
        <v/>
      </c>
      <c r="M128" s="5"/>
      <c r="N128" s="5"/>
      <c r="O128" s="24"/>
    </row>
    <row r="129" customFormat="false" ht="21.75" hidden="false" customHeight="true" outlineLevel="0" collapsed="false">
      <c r="A129" s="17"/>
      <c r="B129" s="11"/>
      <c r="C129" s="12"/>
      <c r="D129" s="18"/>
      <c r="E129" s="18"/>
      <c r="F129" s="18"/>
      <c r="G129" s="19" t="str">
        <f aca="false">IFERROR(F129/D129,"")</f>
        <v/>
      </c>
      <c r="H129" s="20" t="str">
        <f aca="false">IFERROR(C129/F129,"")</f>
        <v/>
      </c>
      <c r="I129" s="20" t="str">
        <f aca="false">IFERROR(C129/D129*1000,"")</f>
        <v/>
      </c>
      <c r="J129" s="11"/>
      <c r="K129" s="20" t="str">
        <f aca="false">IFERROR(C129/J129,"")</f>
        <v/>
      </c>
      <c r="L129" s="19" t="str">
        <f aca="false">IFERROR(J129/F129,"")</f>
        <v/>
      </c>
      <c r="M129" s="11"/>
      <c r="N129" s="11"/>
      <c r="O129" s="21"/>
    </row>
    <row r="130" customFormat="false" ht="21.75" hidden="false" customHeight="true" outlineLevel="0" collapsed="false">
      <c r="A130" s="22"/>
      <c r="B130" s="5"/>
      <c r="C130" s="7"/>
      <c r="D130" s="23"/>
      <c r="E130" s="23"/>
      <c r="F130" s="23"/>
      <c r="G130" s="19" t="str">
        <f aca="false">IFERROR(F130/D130,"")</f>
        <v/>
      </c>
      <c r="H130" s="20" t="str">
        <f aca="false">IFERROR(C130/F130,"")</f>
        <v/>
      </c>
      <c r="I130" s="20" t="str">
        <f aca="false">IFERROR(C130/D130*1000,"")</f>
        <v/>
      </c>
      <c r="J130" s="5"/>
      <c r="K130" s="20" t="str">
        <f aca="false">IFERROR(C130/J130,"")</f>
        <v/>
      </c>
      <c r="L130" s="19" t="str">
        <f aca="false">IFERROR(J130/F130,"")</f>
        <v/>
      </c>
      <c r="M130" s="5"/>
      <c r="N130" s="5"/>
      <c r="O130" s="24"/>
    </row>
    <row r="131" customFormat="false" ht="21.75" hidden="false" customHeight="true" outlineLevel="0" collapsed="false">
      <c r="A131" s="17"/>
      <c r="B131" s="11"/>
      <c r="C131" s="12"/>
      <c r="D131" s="18"/>
      <c r="E131" s="18"/>
      <c r="F131" s="18"/>
      <c r="G131" s="19" t="str">
        <f aca="false">IFERROR(F131/D131,"")</f>
        <v/>
      </c>
      <c r="H131" s="20" t="str">
        <f aca="false">IFERROR(C131/F131,"")</f>
        <v/>
      </c>
      <c r="I131" s="20" t="str">
        <f aca="false">IFERROR(C131/D131*1000,"")</f>
        <v/>
      </c>
      <c r="J131" s="11"/>
      <c r="K131" s="20" t="str">
        <f aca="false">IFERROR(C131/J131,"")</f>
        <v/>
      </c>
      <c r="L131" s="19" t="str">
        <f aca="false">IFERROR(J131/F131,"")</f>
        <v/>
      </c>
      <c r="M131" s="11"/>
      <c r="N131" s="11"/>
      <c r="O131" s="21"/>
    </row>
    <row r="132" customFormat="false" ht="21.75" hidden="false" customHeight="true" outlineLevel="0" collapsed="false">
      <c r="A132" s="22"/>
      <c r="B132" s="5"/>
      <c r="C132" s="7"/>
      <c r="D132" s="23"/>
      <c r="E132" s="23"/>
      <c r="F132" s="23"/>
      <c r="G132" s="19" t="str">
        <f aca="false">IFERROR(F132/D132,"")</f>
        <v/>
      </c>
      <c r="H132" s="20" t="str">
        <f aca="false">IFERROR(C132/F132,"")</f>
        <v/>
      </c>
      <c r="I132" s="20" t="str">
        <f aca="false">IFERROR(C132/D132*1000,"")</f>
        <v/>
      </c>
      <c r="J132" s="5"/>
      <c r="K132" s="20" t="str">
        <f aca="false">IFERROR(C132/J132,"")</f>
        <v/>
      </c>
      <c r="L132" s="19" t="str">
        <f aca="false">IFERROR(J132/F132,"")</f>
        <v/>
      </c>
      <c r="M132" s="5"/>
      <c r="N132" s="5"/>
      <c r="O132" s="24"/>
    </row>
    <row r="133" customFormat="false" ht="21.75" hidden="false" customHeight="true" outlineLevel="0" collapsed="false">
      <c r="A133" s="17"/>
      <c r="B133" s="11"/>
      <c r="C133" s="12"/>
      <c r="D133" s="18"/>
      <c r="E133" s="18"/>
      <c r="F133" s="18"/>
      <c r="G133" s="19" t="str">
        <f aca="false">IFERROR(F133/D133,"")</f>
        <v/>
      </c>
      <c r="H133" s="20" t="str">
        <f aca="false">IFERROR(C133/F133,"")</f>
        <v/>
      </c>
      <c r="I133" s="20" t="str">
        <f aca="false">IFERROR(C133/D133*1000,"")</f>
        <v/>
      </c>
      <c r="J133" s="11"/>
      <c r="K133" s="20" t="str">
        <f aca="false">IFERROR(C133/J133,"")</f>
        <v/>
      </c>
      <c r="L133" s="19" t="str">
        <f aca="false">IFERROR(J133/F133,"")</f>
        <v/>
      </c>
      <c r="M133" s="11"/>
      <c r="N133" s="11"/>
      <c r="O133" s="21"/>
    </row>
    <row r="134" customFormat="false" ht="21.75" hidden="false" customHeight="true" outlineLevel="0" collapsed="false">
      <c r="A134" s="22"/>
      <c r="B134" s="5"/>
      <c r="C134" s="7"/>
      <c r="D134" s="23"/>
      <c r="E134" s="23"/>
      <c r="F134" s="23"/>
      <c r="G134" s="19" t="str">
        <f aca="false">IFERROR(F134/D134,"")</f>
        <v/>
      </c>
      <c r="H134" s="20" t="str">
        <f aca="false">IFERROR(C134/F134,"")</f>
        <v/>
      </c>
      <c r="I134" s="20" t="str">
        <f aca="false">IFERROR(C134/D134*1000,"")</f>
        <v/>
      </c>
      <c r="J134" s="5"/>
      <c r="K134" s="20" t="str">
        <f aca="false">IFERROR(C134/J134,"")</f>
        <v/>
      </c>
      <c r="L134" s="19" t="str">
        <f aca="false">IFERROR(J134/F134,"")</f>
        <v/>
      </c>
      <c r="M134" s="5"/>
      <c r="N134" s="5"/>
      <c r="O134" s="24"/>
    </row>
    <row r="135" customFormat="false" ht="21.75" hidden="false" customHeight="true" outlineLevel="0" collapsed="false">
      <c r="A135" s="17"/>
      <c r="B135" s="11"/>
      <c r="C135" s="12"/>
      <c r="D135" s="18"/>
      <c r="E135" s="18"/>
      <c r="F135" s="18"/>
      <c r="G135" s="19" t="str">
        <f aca="false">IFERROR(F135/D135,"")</f>
        <v/>
      </c>
      <c r="H135" s="20" t="str">
        <f aca="false">IFERROR(C135/F135,"")</f>
        <v/>
      </c>
      <c r="I135" s="20" t="str">
        <f aca="false">IFERROR(C135/D135*1000,"")</f>
        <v/>
      </c>
      <c r="J135" s="11"/>
      <c r="K135" s="20" t="str">
        <f aca="false">IFERROR(C135/J135,"")</f>
        <v/>
      </c>
      <c r="L135" s="19" t="str">
        <f aca="false">IFERROR(J135/F135,"")</f>
        <v/>
      </c>
      <c r="M135" s="11"/>
      <c r="N135" s="11"/>
      <c r="O135" s="21"/>
    </row>
    <row r="136" customFormat="false" ht="21.75" hidden="false" customHeight="true" outlineLevel="0" collapsed="false">
      <c r="A136" s="22"/>
      <c r="B136" s="5"/>
      <c r="C136" s="7"/>
      <c r="D136" s="23"/>
      <c r="E136" s="23"/>
      <c r="F136" s="23"/>
      <c r="G136" s="19" t="str">
        <f aca="false">IFERROR(F136/D136,"")</f>
        <v/>
      </c>
      <c r="H136" s="20" t="str">
        <f aca="false">IFERROR(C136/F136,"")</f>
        <v/>
      </c>
      <c r="I136" s="20" t="str">
        <f aca="false">IFERROR(C136/D136*1000,"")</f>
        <v/>
      </c>
      <c r="J136" s="5"/>
      <c r="K136" s="20" t="str">
        <f aca="false">IFERROR(C136/J136,"")</f>
        <v/>
      </c>
      <c r="L136" s="19" t="str">
        <f aca="false">IFERROR(J136/F136,"")</f>
        <v/>
      </c>
      <c r="M136" s="5"/>
      <c r="N136" s="5"/>
      <c r="O136" s="24"/>
    </row>
    <row r="137" customFormat="false" ht="21.75" hidden="false" customHeight="true" outlineLevel="0" collapsed="false">
      <c r="A137" s="17"/>
      <c r="B137" s="11"/>
      <c r="C137" s="12"/>
      <c r="D137" s="18"/>
      <c r="E137" s="18"/>
      <c r="F137" s="18"/>
      <c r="G137" s="19" t="str">
        <f aca="false">IFERROR(F137/D137,"")</f>
        <v/>
      </c>
      <c r="H137" s="20" t="str">
        <f aca="false">IFERROR(C137/F137,"")</f>
        <v/>
      </c>
      <c r="I137" s="20" t="str">
        <f aca="false">IFERROR(C137/D137*1000,"")</f>
        <v/>
      </c>
      <c r="J137" s="11"/>
      <c r="K137" s="20" t="str">
        <f aca="false">IFERROR(C137/J137,"")</f>
        <v/>
      </c>
      <c r="L137" s="19" t="str">
        <f aca="false">IFERROR(J137/F137,"")</f>
        <v/>
      </c>
      <c r="M137" s="11"/>
      <c r="N137" s="11"/>
      <c r="O137" s="21"/>
    </row>
    <row r="138" customFormat="false" ht="21.75" hidden="false" customHeight="true" outlineLevel="0" collapsed="false">
      <c r="A138" s="22"/>
      <c r="B138" s="5"/>
      <c r="C138" s="7"/>
      <c r="D138" s="23"/>
      <c r="E138" s="23"/>
      <c r="F138" s="23"/>
      <c r="G138" s="19" t="str">
        <f aca="false">IFERROR(F138/D138,"")</f>
        <v/>
      </c>
      <c r="H138" s="20" t="str">
        <f aca="false">IFERROR(C138/F138,"")</f>
        <v/>
      </c>
      <c r="I138" s="20" t="str">
        <f aca="false">IFERROR(C138/D138*1000,"")</f>
        <v/>
      </c>
      <c r="J138" s="5"/>
      <c r="K138" s="20" t="str">
        <f aca="false">IFERROR(C138/J138,"")</f>
        <v/>
      </c>
      <c r="L138" s="19" t="str">
        <f aca="false">IFERROR(J138/F138,"")</f>
        <v/>
      </c>
      <c r="M138" s="5"/>
      <c r="N138" s="5"/>
      <c r="O138" s="24"/>
    </row>
    <row r="139" customFormat="false" ht="21.75" hidden="false" customHeight="true" outlineLevel="0" collapsed="false">
      <c r="A139" s="17"/>
      <c r="B139" s="11"/>
      <c r="C139" s="12"/>
      <c r="D139" s="18"/>
      <c r="E139" s="18"/>
      <c r="F139" s="18"/>
      <c r="G139" s="19" t="str">
        <f aca="false">IFERROR(F139/D139,"")</f>
        <v/>
      </c>
      <c r="H139" s="20" t="str">
        <f aca="false">IFERROR(C139/F139,"")</f>
        <v/>
      </c>
      <c r="I139" s="20" t="str">
        <f aca="false">IFERROR(C139/D139*1000,"")</f>
        <v/>
      </c>
      <c r="J139" s="11"/>
      <c r="K139" s="20" t="str">
        <f aca="false">IFERROR(C139/J139,"")</f>
        <v/>
      </c>
      <c r="L139" s="19" t="str">
        <f aca="false">IFERROR(J139/F139,"")</f>
        <v/>
      </c>
      <c r="M139" s="11"/>
      <c r="N139" s="11"/>
      <c r="O139" s="21"/>
    </row>
    <row r="140" customFormat="false" ht="21.75" hidden="false" customHeight="true" outlineLevel="0" collapsed="false">
      <c r="A140" s="22"/>
      <c r="B140" s="5"/>
      <c r="C140" s="7"/>
      <c r="D140" s="23"/>
      <c r="E140" s="23"/>
      <c r="F140" s="23"/>
      <c r="G140" s="19" t="str">
        <f aca="false">IFERROR(F140/D140,"")</f>
        <v/>
      </c>
      <c r="H140" s="20" t="str">
        <f aca="false">IFERROR(C140/F140,"")</f>
        <v/>
      </c>
      <c r="I140" s="20" t="str">
        <f aca="false">IFERROR(C140/D140*1000,"")</f>
        <v/>
      </c>
      <c r="J140" s="5"/>
      <c r="K140" s="20" t="str">
        <f aca="false">IFERROR(C140/J140,"")</f>
        <v/>
      </c>
      <c r="L140" s="19" t="str">
        <f aca="false">IFERROR(J140/F140,"")</f>
        <v/>
      </c>
      <c r="M140" s="5"/>
      <c r="N140" s="5"/>
      <c r="O140" s="24"/>
    </row>
    <row r="141" customFormat="false" ht="21.75" hidden="false" customHeight="true" outlineLevel="0" collapsed="false">
      <c r="A141" s="17"/>
      <c r="B141" s="11"/>
      <c r="C141" s="12"/>
      <c r="D141" s="18"/>
      <c r="E141" s="18"/>
      <c r="F141" s="18"/>
      <c r="G141" s="19" t="str">
        <f aca="false">IFERROR(F141/D141,"")</f>
        <v/>
      </c>
      <c r="H141" s="20" t="str">
        <f aca="false">IFERROR(C141/F141,"")</f>
        <v/>
      </c>
      <c r="I141" s="20" t="str">
        <f aca="false">IFERROR(C141/D141*1000,"")</f>
        <v/>
      </c>
      <c r="J141" s="11"/>
      <c r="K141" s="20" t="str">
        <f aca="false">IFERROR(C141/J141,"")</f>
        <v/>
      </c>
      <c r="L141" s="19" t="str">
        <f aca="false">IFERROR(J141/F141,"")</f>
        <v/>
      </c>
      <c r="M141" s="11"/>
      <c r="N141" s="11"/>
      <c r="O141" s="21"/>
    </row>
    <row r="142" customFormat="false" ht="21.75" hidden="false" customHeight="true" outlineLevel="0" collapsed="false">
      <c r="A142" s="22"/>
      <c r="B142" s="5"/>
      <c r="C142" s="7"/>
      <c r="D142" s="23"/>
      <c r="E142" s="23"/>
      <c r="F142" s="23"/>
      <c r="G142" s="19" t="str">
        <f aca="false">IFERROR(F142/D142,"")</f>
        <v/>
      </c>
      <c r="H142" s="20" t="str">
        <f aca="false">IFERROR(C142/F142,"")</f>
        <v/>
      </c>
      <c r="I142" s="20" t="str">
        <f aca="false">IFERROR(C142/D142*1000,"")</f>
        <v/>
      </c>
      <c r="J142" s="5"/>
      <c r="K142" s="20" t="str">
        <f aca="false">IFERROR(C142/J142,"")</f>
        <v/>
      </c>
      <c r="L142" s="19" t="str">
        <f aca="false">IFERROR(J142/F142,"")</f>
        <v/>
      </c>
      <c r="M142" s="5"/>
      <c r="N142" s="5"/>
      <c r="O142" s="24"/>
    </row>
    <row r="143" customFormat="false" ht="21.75" hidden="false" customHeight="true" outlineLevel="0" collapsed="false">
      <c r="A143" s="17"/>
      <c r="B143" s="11"/>
      <c r="C143" s="12"/>
      <c r="D143" s="18"/>
      <c r="E143" s="18"/>
      <c r="F143" s="18"/>
      <c r="G143" s="19" t="str">
        <f aca="false">IFERROR(F143/D143,"")</f>
        <v/>
      </c>
      <c r="H143" s="20" t="str">
        <f aca="false">IFERROR(C143/F143,"")</f>
        <v/>
      </c>
      <c r="I143" s="20" t="str">
        <f aca="false">IFERROR(C143/D143*1000,"")</f>
        <v/>
      </c>
      <c r="J143" s="11"/>
      <c r="K143" s="20" t="str">
        <f aca="false">IFERROR(C143/J143,"")</f>
        <v/>
      </c>
      <c r="L143" s="19" t="str">
        <f aca="false">IFERROR(J143/F143,"")</f>
        <v/>
      </c>
      <c r="M143" s="11"/>
      <c r="N143" s="11"/>
      <c r="O143" s="21"/>
    </row>
    <row r="144" customFormat="false" ht="21.75" hidden="false" customHeight="true" outlineLevel="0" collapsed="false">
      <c r="A144" s="22"/>
      <c r="B144" s="5"/>
      <c r="C144" s="7"/>
      <c r="D144" s="23"/>
      <c r="E144" s="23"/>
      <c r="F144" s="23"/>
      <c r="G144" s="19" t="str">
        <f aca="false">IFERROR(F144/D144,"")</f>
        <v/>
      </c>
      <c r="H144" s="20" t="str">
        <f aca="false">IFERROR(C144/F144,"")</f>
        <v/>
      </c>
      <c r="I144" s="20" t="str">
        <f aca="false">IFERROR(C144/D144*1000,"")</f>
        <v/>
      </c>
      <c r="J144" s="5"/>
      <c r="K144" s="20" t="str">
        <f aca="false">IFERROR(C144/J144,"")</f>
        <v/>
      </c>
      <c r="L144" s="19" t="str">
        <f aca="false">IFERROR(J144/F144,"")</f>
        <v/>
      </c>
      <c r="M144" s="5"/>
      <c r="N144" s="5"/>
      <c r="O144" s="24"/>
    </row>
    <row r="145" customFormat="false" ht="21.75" hidden="false" customHeight="true" outlineLevel="0" collapsed="false">
      <c r="A145" s="17"/>
      <c r="B145" s="11"/>
      <c r="C145" s="12"/>
      <c r="D145" s="18"/>
      <c r="E145" s="18"/>
      <c r="F145" s="18"/>
      <c r="G145" s="19" t="str">
        <f aca="false">IFERROR(F145/D145,"")</f>
        <v/>
      </c>
      <c r="H145" s="20" t="str">
        <f aca="false">IFERROR(C145/F145,"")</f>
        <v/>
      </c>
      <c r="I145" s="20" t="str">
        <f aca="false">IFERROR(C145/D145*1000,"")</f>
        <v/>
      </c>
      <c r="J145" s="11"/>
      <c r="K145" s="20" t="str">
        <f aca="false">IFERROR(C145/J145,"")</f>
        <v/>
      </c>
      <c r="L145" s="19" t="str">
        <f aca="false">IFERROR(J145/F145,"")</f>
        <v/>
      </c>
      <c r="M145" s="11"/>
      <c r="N145" s="11"/>
      <c r="O145" s="21"/>
    </row>
    <row r="146" customFormat="false" ht="21.75" hidden="false" customHeight="true" outlineLevel="0" collapsed="false">
      <c r="A146" s="22"/>
      <c r="B146" s="5"/>
      <c r="C146" s="7"/>
      <c r="D146" s="23"/>
      <c r="E146" s="23"/>
      <c r="F146" s="23"/>
      <c r="G146" s="19" t="str">
        <f aca="false">IFERROR(F146/D146,"")</f>
        <v/>
      </c>
      <c r="H146" s="20" t="str">
        <f aca="false">IFERROR(C146/F146,"")</f>
        <v/>
      </c>
      <c r="I146" s="20" t="str">
        <f aca="false">IFERROR(C146/D146*1000,"")</f>
        <v/>
      </c>
      <c r="J146" s="5"/>
      <c r="K146" s="20" t="str">
        <f aca="false">IFERROR(C146/J146,"")</f>
        <v/>
      </c>
      <c r="L146" s="19" t="str">
        <f aca="false">IFERROR(J146/F146,"")</f>
        <v/>
      </c>
      <c r="M146" s="5"/>
      <c r="N146" s="5"/>
      <c r="O146" s="24"/>
    </row>
    <row r="147" customFormat="false" ht="21.75" hidden="false" customHeight="true" outlineLevel="0" collapsed="false">
      <c r="A147" s="17"/>
      <c r="B147" s="11"/>
      <c r="C147" s="12"/>
      <c r="D147" s="18"/>
      <c r="E147" s="18"/>
      <c r="F147" s="18"/>
      <c r="G147" s="19" t="str">
        <f aca="false">IFERROR(F147/D147,"")</f>
        <v/>
      </c>
      <c r="H147" s="20" t="str">
        <f aca="false">IFERROR(C147/F147,"")</f>
        <v/>
      </c>
      <c r="I147" s="20" t="str">
        <f aca="false">IFERROR(C147/D147*1000,"")</f>
        <v/>
      </c>
      <c r="J147" s="11"/>
      <c r="K147" s="20" t="str">
        <f aca="false">IFERROR(C147/J147,"")</f>
        <v/>
      </c>
      <c r="L147" s="19" t="str">
        <f aca="false">IFERROR(J147/F147,"")</f>
        <v/>
      </c>
      <c r="M147" s="11"/>
      <c r="N147" s="11"/>
      <c r="O147" s="21"/>
    </row>
    <row r="148" customFormat="false" ht="21.75" hidden="false" customHeight="true" outlineLevel="0" collapsed="false">
      <c r="A148" s="22"/>
      <c r="B148" s="5"/>
      <c r="C148" s="7"/>
      <c r="D148" s="23"/>
      <c r="E148" s="23"/>
      <c r="F148" s="23"/>
      <c r="G148" s="19" t="str">
        <f aca="false">IFERROR(F148/D148,"")</f>
        <v/>
      </c>
      <c r="H148" s="20" t="str">
        <f aca="false">IFERROR(C148/F148,"")</f>
        <v/>
      </c>
      <c r="I148" s="20" t="str">
        <f aca="false">IFERROR(C148/D148*1000,"")</f>
        <v/>
      </c>
      <c r="J148" s="5"/>
      <c r="K148" s="20" t="str">
        <f aca="false">IFERROR(C148/J148,"")</f>
        <v/>
      </c>
      <c r="L148" s="19" t="str">
        <f aca="false">IFERROR(J148/F148,"")</f>
        <v/>
      </c>
      <c r="M148" s="5"/>
      <c r="N148" s="5"/>
      <c r="O148" s="24"/>
    </row>
    <row r="149" customFormat="false" ht="21.75" hidden="false" customHeight="true" outlineLevel="0" collapsed="false">
      <c r="A149" s="17"/>
      <c r="B149" s="11"/>
      <c r="C149" s="12"/>
      <c r="D149" s="18"/>
      <c r="E149" s="18"/>
      <c r="F149" s="18"/>
      <c r="G149" s="19" t="str">
        <f aca="false">IFERROR(F149/D149,"")</f>
        <v/>
      </c>
      <c r="H149" s="20" t="str">
        <f aca="false">IFERROR(C149/F149,"")</f>
        <v/>
      </c>
      <c r="I149" s="20" t="str">
        <f aca="false">IFERROR(C149/D149*1000,"")</f>
        <v/>
      </c>
      <c r="J149" s="11"/>
      <c r="K149" s="20" t="str">
        <f aca="false">IFERROR(C149/J149,"")</f>
        <v/>
      </c>
      <c r="L149" s="19" t="str">
        <f aca="false">IFERROR(J149/F149,"")</f>
        <v/>
      </c>
      <c r="M149" s="11"/>
      <c r="N149" s="11"/>
      <c r="O149" s="21"/>
    </row>
    <row r="150" customFormat="false" ht="21.75" hidden="false" customHeight="true" outlineLevel="0" collapsed="false">
      <c r="A150" s="22"/>
      <c r="B150" s="5"/>
      <c r="C150" s="7"/>
      <c r="D150" s="23"/>
      <c r="E150" s="23"/>
      <c r="F150" s="23"/>
      <c r="G150" s="19" t="str">
        <f aca="false">IFERROR(F150/D150,"")</f>
        <v/>
      </c>
      <c r="H150" s="20" t="str">
        <f aca="false">IFERROR(C150/F150,"")</f>
        <v/>
      </c>
      <c r="I150" s="20" t="str">
        <f aca="false">IFERROR(C150/D150*1000,"")</f>
        <v/>
      </c>
      <c r="J150" s="5"/>
      <c r="K150" s="20" t="str">
        <f aca="false">IFERROR(C150/J150,"")</f>
        <v/>
      </c>
      <c r="L150" s="19" t="str">
        <f aca="false">IFERROR(J150/F150,"")</f>
        <v/>
      </c>
      <c r="M150" s="5"/>
      <c r="N150" s="5"/>
      <c r="O150" s="24"/>
    </row>
    <row r="151" customFormat="false" ht="21.75" hidden="false" customHeight="true" outlineLevel="0" collapsed="false">
      <c r="A151" s="17"/>
      <c r="B151" s="11"/>
      <c r="C151" s="12"/>
      <c r="D151" s="18"/>
      <c r="E151" s="18"/>
      <c r="F151" s="18"/>
      <c r="G151" s="19" t="str">
        <f aca="false">IFERROR(F151/D151,"")</f>
        <v/>
      </c>
      <c r="H151" s="20" t="str">
        <f aca="false">IFERROR(C151/F151,"")</f>
        <v/>
      </c>
      <c r="I151" s="20" t="str">
        <f aca="false">IFERROR(C151/D151*1000,"")</f>
        <v/>
      </c>
      <c r="J151" s="11"/>
      <c r="K151" s="20" t="str">
        <f aca="false">IFERROR(C151/J151,"")</f>
        <v/>
      </c>
      <c r="L151" s="19" t="str">
        <f aca="false">IFERROR(J151/F151,"")</f>
        <v/>
      </c>
      <c r="M151" s="11"/>
      <c r="N151" s="11"/>
      <c r="O151" s="21"/>
    </row>
    <row r="152" customFormat="false" ht="21.75" hidden="false" customHeight="true" outlineLevel="0" collapsed="false">
      <c r="A152" s="22"/>
      <c r="B152" s="5"/>
      <c r="C152" s="7"/>
      <c r="D152" s="23"/>
      <c r="E152" s="23"/>
      <c r="F152" s="23"/>
      <c r="G152" s="19" t="str">
        <f aca="false">IFERROR(F152/D152,"")</f>
        <v/>
      </c>
      <c r="H152" s="20" t="str">
        <f aca="false">IFERROR(C152/F152,"")</f>
        <v/>
      </c>
      <c r="I152" s="20" t="str">
        <f aca="false">IFERROR(C152/D152*1000,"")</f>
        <v/>
      </c>
      <c r="J152" s="5"/>
      <c r="K152" s="20" t="str">
        <f aca="false">IFERROR(C152/J152,"")</f>
        <v/>
      </c>
      <c r="L152" s="19" t="str">
        <f aca="false">IFERROR(J152/F152,"")</f>
        <v/>
      </c>
      <c r="M152" s="5"/>
      <c r="N152" s="5"/>
      <c r="O152" s="24"/>
    </row>
    <row r="153" customFormat="false" ht="21.75" hidden="false" customHeight="true" outlineLevel="0" collapsed="false">
      <c r="A153" s="17"/>
      <c r="B153" s="11"/>
      <c r="C153" s="12"/>
      <c r="D153" s="18"/>
      <c r="E153" s="18"/>
      <c r="F153" s="18"/>
      <c r="G153" s="19" t="str">
        <f aca="false">IFERROR(F153/D153,"")</f>
        <v/>
      </c>
      <c r="H153" s="20" t="str">
        <f aca="false">IFERROR(C153/F153,"")</f>
        <v/>
      </c>
      <c r="I153" s="20" t="str">
        <f aca="false">IFERROR(C153/D153*1000,"")</f>
        <v/>
      </c>
      <c r="J153" s="11"/>
      <c r="K153" s="20" t="str">
        <f aca="false">IFERROR(C153/J153,"")</f>
        <v/>
      </c>
      <c r="L153" s="19" t="str">
        <f aca="false">IFERROR(J153/F153,"")</f>
        <v/>
      </c>
      <c r="M153" s="11"/>
      <c r="N153" s="11"/>
      <c r="O153" s="21"/>
    </row>
    <row r="154" customFormat="false" ht="21.75" hidden="false" customHeight="true" outlineLevel="0" collapsed="false">
      <c r="A154" s="22"/>
      <c r="B154" s="5"/>
      <c r="C154" s="7"/>
      <c r="D154" s="23"/>
      <c r="E154" s="23"/>
      <c r="F154" s="23"/>
      <c r="G154" s="19" t="str">
        <f aca="false">IFERROR(F154/D154,"")</f>
        <v/>
      </c>
      <c r="H154" s="20" t="str">
        <f aca="false">IFERROR(C154/F154,"")</f>
        <v/>
      </c>
      <c r="I154" s="20" t="str">
        <f aca="false">IFERROR(C154/D154*1000,"")</f>
        <v/>
      </c>
      <c r="J154" s="5"/>
      <c r="K154" s="20" t="str">
        <f aca="false">IFERROR(C154/J154,"")</f>
        <v/>
      </c>
      <c r="L154" s="19" t="str">
        <f aca="false">IFERROR(J154/F154,"")</f>
        <v/>
      </c>
      <c r="M154" s="5"/>
      <c r="N154" s="5"/>
      <c r="O154" s="24"/>
    </row>
    <row r="155" customFormat="false" ht="21.75" hidden="false" customHeight="true" outlineLevel="0" collapsed="false">
      <c r="A155" s="17"/>
      <c r="B155" s="11"/>
      <c r="C155" s="12"/>
      <c r="D155" s="18"/>
      <c r="E155" s="18"/>
      <c r="F155" s="18"/>
      <c r="G155" s="19" t="str">
        <f aca="false">IFERROR(F155/D155,"")</f>
        <v/>
      </c>
      <c r="H155" s="20" t="str">
        <f aca="false">IFERROR(C155/F155,"")</f>
        <v/>
      </c>
      <c r="I155" s="20" t="str">
        <f aca="false">IFERROR(C155/D155*1000,"")</f>
        <v/>
      </c>
      <c r="J155" s="11"/>
      <c r="K155" s="20" t="str">
        <f aca="false">IFERROR(C155/J155,"")</f>
        <v/>
      </c>
      <c r="L155" s="19" t="str">
        <f aca="false">IFERROR(J155/F155,"")</f>
        <v/>
      </c>
      <c r="M155" s="11"/>
      <c r="N155" s="11"/>
      <c r="O155" s="21"/>
    </row>
    <row r="156" customFormat="false" ht="21.75" hidden="false" customHeight="true" outlineLevel="0" collapsed="false">
      <c r="A156" s="22"/>
      <c r="B156" s="5"/>
      <c r="C156" s="7"/>
      <c r="D156" s="23"/>
      <c r="E156" s="23"/>
      <c r="F156" s="23"/>
      <c r="G156" s="19" t="str">
        <f aca="false">IFERROR(F156/D156,"")</f>
        <v/>
      </c>
      <c r="H156" s="20" t="str">
        <f aca="false">IFERROR(C156/F156,"")</f>
        <v/>
      </c>
      <c r="I156" s="20" t="str">
        <f aca="false">IFERROR(C156/D156*1000,"")</f>
        <v/>
      </c>
      <c r="J156" s="5"/>
      <c r="K156" s="20" t="str">
        <f aca="false">IFERROR(C156/J156,"")</f>
        <v/>
      </c>
      <c r="L156" s="19" t="str">
        <f aca="false">IFERROR(J156/F156,"")</f>
        <v/>
      </c>
      <c r="M156" s="5"/>
      <c r="N156" s="5"/>
      <c r="O156" s="24"/>
    </row>
    <row r="157" customFormat="false" ht="21.75" hidden="false" customHeight="true" outlineLevel="0" collapsed="false">
      <c r="A157" s="17"/>
      <c r="B157" s="11"/>
      <c r="C157" s="12"/>
      <c r="D157" s="18"/>
      <c r="E157" s="18"/>
      <c r="F157" s="18"/>
      <c r="G157" s="19" t="str">
        <f aca="false">IFERROR(F157/D157,"")</f>
        <v/>
      </c>
      <c r="H157" s="20" t="str">
        <f aca="false">IFERROR(C157/F157,"")</f>
        <v/>
      </c>
      <c r="I157" s="20" t="str">
        <f aca="false">IFERROR(C157/D157*1000,"")</f>
        <v/>
      </c>
      <c r="J157" s="11"/>
      <c r="K157" s="20" t="str">
        <f aca="false">IFERROR(C157/J157,"")</f>
        <v/>
      </c>
      <c r="L157" s="19" t="str">
        <f aca="false">IFERROR(J157/F157,"")</f>
        <v/>
      </c>
      <c r="M157" s="11"/>
      <c r="N157" s="11"/>
      <c r="O157" s="21"/>
    </row>
    <row r="158" customFormat="false" ht="21.75" hidden="false" customHeight="true" outlineLevel="0" collapsed="false">
      <c r="A158" s="22"/>
      <c r="B158" s="5"/>
      <c r="C158" s="7"/>
      <c r="D158" s="23"/>
      <c r="E158" s="23"/>
      <c r="F158" s="23"/>
      <c r="G158" s="19" t="str">
        <f aca="false">IFERROR(F158/D158,"")</f>
        <v/>
      </c>
      <c r="H158" s="20" t="str">
        <f aca="false">IFERROR(C158/F158,"")</f>
        <v/>
      </c>
      <c r="I158" s="20" t="str">
        <f aca="false">IFERROR(C158/D158*1000,"")</f>
        <v/>
      </c>
      <c r="J158" s="5"/>
      <c r="K158" s="20" t="str">
        <f aca="false">IFERROR(C158/J158,"")</f>
        <v/>
      </c>
      <c r="L158" s="19" t="str">
        <f aca="false">IFERROR(J158/F158,"")</f>
        <v/>
      </c>
      <c r="M158" s="5"/>
      <c r="N158" s="5"/>
      <c r="O158" s="24"/>
    </row>
    <row r="159" customFormat="false" ht="21.75" hidden="false" customHeight="true" outlineLevel="0" collapsed="false">
      <c r="A159" s="17"/>
      <c r="B159" s="11"/>
      <c r="C159" s="12"/>
      <c r="D159" s="18"/>
      <c r="E159" s="18"/>
      <c r="F159" s="18"/>
      <c r="G159" s="19" t="str">
        <f aca="false">IFERROR(F159/D159,"")</f>
        <v/>
      </c>
      <c r="H159" s="20" t="str">
        <f aca="false">IFERROR(C159/F159,"")</f>
        <v/>
      </c>
      <c r="I159" s="20" t="str">
        <f aca="false">IFERROR(C159/D159*1000,"")</f>
        <v/>
      </c>
      <c r="J159" s="11"/>
      <c r="K159" s="20" t="str">
        <f aca="false">IFERROR(C159/J159,"")</f>
        <v/>
      </c>
      <c r="L159" s="19" t="str">
        <f aca="false">IFERROR(J159/F159,"")</f>
        <v/>
      </c>
      <c r="M159" s="11"/>
      <c r="N159" s="11"/>
      <c r="O159" s="21"/>
    </row>
    <row r="160" customFormat="false" ht="21.75" hidden="false" customHeight="true" outlineLevel="0" collapsed="false">
      <c r="A160" s="22"/>
      <c r="B160" s="5"/>
      <c r="C160" s="7"/>
      <c r="D160" s="23"/>
      <c r="E160" s="23"/>
      <c r="F160" s="23"/>
      <c r="G160" s="19" t="str">
        <f aca="false">IFERROR(F160/D160,"")</f>
        <v/>
      </c>
      <c r="H160" s="20" t="str">
        <f aca="false">IFERROR(C160/F160,"")</f>
        <v/>
      </c>
      <c r="I160" s="20" t="str">
        <f aca="false">IFERROR(C160/D160*1000,"")</f>
        <v/>
      </c>
      <c r="J160" s="5"/>
      <c r="K160" s="20" t="str">
        <f aca="false">IFERROR(C160/J160,"")</f>
        <v/>
      </c>
      <c r="L160" s="19" t="str">
        <f aca="false">IFERROR(J160/F160,"")</f>
        <v/>
      </c>
      <c r="M160" s="5"/>
      <c r="N160" s="5"/>
      <c r="O160" s="24"/>
    </row>
    <row r="161" customFormat="false" ht="21.75" hidden="false" customHeight="true" outlineLevel="0" collapsed="false">
      <c r="A161" s="17"/>
      <c r="B161" s="11"/>
      <c r="C161" s="12"/>
      <c r="D161" s="18"/>
      <c r="E161" s="18"/>
      <c r="F161" s="18"/>
      <c r="G161" s="19" t="str">
        <f aca="false">IFERROR(F161/D161,"")</f>
        <v/>
      </c>
      <c r="H161" s="20" t="str">
        <f aca="false">IFERROR(C161/F161,"")</f>
        <v/>
      </c>
      <c r="I161" s="20" t="str">
        <f aca="false">IFERROR(C161/D161*1000,"")</f>
        <v/>
      </c>
      <c r="J161" s="11"/>
      <c r="K161" s="20" t="str">
        <f aca="false">IFERROR(C161/J161,"")</f>
        <v/>
      </c>
      <c r="L161" s="19" t="str">
        <f aca="false">IFERROR(J161/F161,"")</f>
        <v/>
      </c>
      <c r="M161" s="11"/>
      <c r="N161" s="11"/>
      <c r="O161" s="21"/>
    </row>
    <row r="162" customFormat="false" ht="21.75" hidden="false" customHeight="true" outlineLevel="0" collapsed="false">
      <c r="A162" s="22"/>
      <c r="B162" s="5"/>
      <c r="C162" s="7"/>
      <c r="D162" s="23"/>
      <c r="E162" s="23"/>
      <c r="F162" s="23"/>
      <c r="G162" s="19" t="str">
        <f aca="false">IFERROR(F162/D162,"")</f>
        <v/>
      </c>
      <c r="H162" s="20" t="str">
        <f aca="false">IFERROR(C162/F162,"")</f>
        <v/>
      </c>
      <c r="I162" s="20" t="str">
        <f aca="false">IFERROR(C162/D162*1000,"")</f>
        <v/>
      </c>
      <c r="J162" s="5"/>
      <c r="K162" s="20" t="str">
        <f aca="false">IFERROR(C162/J162,"")</f>
        <v/>
      </c>
      <c r="L162" s="19" t="str">
        <f aca="false">IFERROR(J162/F162,"")</f>
        <v/>
      </c>
      <c r="M162" s="5"/>
      <c r="N162" s="5"/>
      <c r="O162" s="24"/>
    </row>
    <row r="163" customFormat="false" ht="21.75" hidden="false" customHeight="true" outlineLevel="0" collapsed="false">
      <c r="A163" s="17"/>
      <c r="B163" s="11"/>
      <c r="C163" s="12"/>
      <c r="D163" s="18"/>
      <c r="E163" s="18"/>
      <c r="F163" s="18"/>
      <c r="G163" s="19" t="str">
        <f aca="false">IFERROR(F163/D163,"")</f>
        <v/>
      </c>
      <c r="H163" s="20" t="str">
        <f aca="false">IFERROR(C163/F163,"")</f>
        <v/>
      </c>
      <c r="I163" s="20" t="str">
        <f aca="false">IFERROR(C163/D163*1000,"")</f>
        <v/>
      </c>
      <c r="J163" s="11"/>
      <c r="K163" s="20" t="str">
        <f aca="false">IFERROR(C163/J163,"")</f>
        <v/>
      </c>
      <c r="L163" s="19" t="str">
        <f aca="false">IFERROR(J163/F163,"")</f>
        <v/>
      </c>
      <c r="M163" s="11"/>
      <c r="N163" s="11"/>
      <c r="O163" s="21"/>
    </row>
    <row r="164" customFormat="false" ht="21.75" hidden="false" customHeight="true" outlineLevel="0" collapsed="false">
      <c r="A164" s="22"/>
      <c r="B164" s="5"/>
      <c r="C164" s="7"/>
      <c r="D164" s="23"/>
      <c r="E164" s="23"/>
      <c r="F164" s="23"/>
      <c r="G164" s="19" t="str">
        <f aca="false">IFERROR(F164/D164,"")</f>
        <v/>
      </c>
      <c r="H164" s="20" t="str">
        <f aca="false">IFERROR(C164/F164,"")</f>
        <v/>
      </c>
      <c r="I164" s="20" t="str">
        <f aca="false">IFERROR(C164/D164*1000,"")</f>
        <v/>
      </c>
      <c r="J164" s="5"/>
      <c r="K164" s="20" t="str">
        <f aca="false">IFERROR(C164/J164,"")</f>
        <v/>
      </c>
      <c r="L164" s="19" t="str">
        <f aca="false">IFERROR(J164/F164,"")</f>
        <v/>
      </c>
      <c r="M164" s="5"/>
      <c r="N164" s="5"/>
      <c r="O164" s="24"/>
    </row>
    <row r="165" customFormat="false" ht="21.75" hidden="false" customHeight="true" outlineLevel="0" collapsed="false">
      <c r="A165" s="17"/>
      <c r="B165" s="11"/>
      <c r="C165" s="12"/>
      <c r="D165" s="18"/>
      <c r="E165" s="18"/>
      <c r="F165" s="18"/>
      <c r="G165" s="19" t="str">
        <f aca="false">IFERROR(F165/D165,"")</f>
        <v/>
      </c>
      <c r="H165" s="20" t="str">
        <f aca="false">IFERROR(C165/F165,"")</f>
        <v/>
      </c>
      <c r="I165" s="20" t="str">
        <f aca="false">IFERROR(C165/D165*1000,"")</f>
        <v/>
      </c>
      <c r="J165" s="11"/>
      <c r="K165" s="20" t="str">
        <f aca="false">IFERROR(C165/J165,"")</f>
        <v/>
      </c>
      <c r="L165" s="19" t="str">
        <f aca="false">IFERROR(J165/F165,"")</f>
        <v/>
      </c>
      <c r="M165" s="11"/>
      <c r="N165" s="11"/>
      <c r="O165" s="21"/>
    </row>
    <row r="166" customFormat="false" ht="21.75" hidden="false" customHeight="true" outlineLevel="0" collapsed="false">
      <c r="A166" s="22"/>
      <c r="B166" s="5"/>
      <c r="C166" s="7"/>
      <c r="D166" s="23"/>
      <c r="E166" s="23"/>
      <c r="F166" s="23"/>
      <c r="G166" s="19" t="str">
        <f aca="false">IFERROR(F166/D166,"")</f>
        <v/>
      </c>
      <c r="H166" s="20" t="str">
        <f aca="false">IFERROR(C166/F166,"")</f>
        <v/>
      </c>
      <c r="I166" s="20" t="str">
        <f aca="false">IFERROR(C166/D166*1000,"")</f>
        <v/>
      </c>
      <c r="J166" s="5"/>
      <c r="K166" s="20" t="str">
        <f aca="false">IFERROR(C166/J166,"")</f>
        <v/>
      </c>
      <c r="L166" s="19" t="str">
        <f aca="false">IFERROR(J166/F166,"")</f>
        <v/>
      </c>
      <c r="M166" s="5"/>
      <c r="N166" s="5"/>
      <c r="O166" s="24"/>
    </row>
    <row r="167" customFormat="false" ht="21.75" hidden="false" customHeight="true" outlineLevel="0" collapsed="false">
      <c r="A167" s="17"/>
      <c r="B167" s="11"/>
      <c r="C167" s="12"/>
      <c r="D167" s="18"/>
      <c r="E167" s="18"/>
      <c r="F167" s="18"/>
      <c r="G167" s="19" t="str">
        <f aca="false">IFERROR(F167/D167,"")</f>
        <v/>
      </c>
      <c r="H167" s="20" t="str">
        <f aca="false">IFERROR(C167/F167,"")</f>
        <v/>
      </c>
      <c r="I167" s="20" t="str">
        <f aca="false">IFERROR(C167/D167*1000,"")</f>
        <v/>
      </c>
      <c r="J167" s="11"/>
      <c r="K167" s="20" t="str">
        <f aca="false">IFERROR(C167/J167,"")</f>
        <v/>
      </c>
      <c r="L167" s="19" t="str">
        <f aca="false">IFERROR(J167/F167,"")</f>
        <v/>
      </c>
      <c r="M167" s="11"/>
      <c r="N167" s="11"/>
      <c r="O167" s="21"/>
    </row>
    <row r="168" customFormat="false" ht="21.75" hidden="false" customHeight="true" outlineLevel="0" collapsed="false">
      <c r="A168" s="22"/>
      <c r="B168" s="5"/>
      <c r="C168" s="7"/>
      <c r="D168" s="23"/>
      <c r="E168" s="23"/>
      <c r="F168" s="23"/>
      <c r="G168" s="19" t="str">
        <f aca="false">IFERROR(F168/D168,"")</f>
        <v/>
      </c>
      <c r="H168" s="20" t="str">
        <f aca="false">IFERROR(C168/F168,"")</f>
        <v/>
      </c>
      <c r="I168" s="20" t="str">
        <f aca="false">IFERROR(C168/D168*1000,"")</f>
        <v/>
      </c>
      <c r="J168" s="5"/>
      <c r="K168" s="20" t="str">
        <f aca="false">IFERROR(C168/J168,"")</f>
        <v/>
      </c>
      <c r="L168" s="19" t="str">
        <f aca="false">IFERROR(J168/F168,"")</f>
        <v/>
      </c>
      <c r="M168" s="5"/>
      <c r="N168" s="5"/>
      <c r="O168" s="24"/>
    </row>
    <row r="169" customFormat="false" ht="21.75" hidden="false" customHeight="true" outlineLevel="0" collapsed="false">
      <c r="A169" s="17"/>
      <c r="B169" s="11"/>
      <c r="C169" s="12"/>
      <c r="D169" s="18"/>
      <c r="E169" s="18"/>
      <c r="F169" s="18"/>
      <c r="G169" s="19" t="str">
        <f aca="false">IFERROR(F169/D169,"")</f>
        <v/>
      </c>
      <c r="H169" s="20" t="str">
        <f aca="false">IFERROR(C169/F169,"")</f>
        <v/>
      </c>
      <c r="I169" s="20" t="str">
        <f aca="false">IFERROR(C169/D169*1000,"")</f>
        <v/>
      </c>
      <c r="J169" s="11"/>
      <c r="K169" s="20" t="str">
        <f aca="false">IFERROR(C169/J169,"")</f>
        <v/>
      </c>
      <c r="L169" s="19" t="str">
        <f aca="false">IFERROR(J169/F169,"")</f>
        <v/>
      </c>
      <c r="M169" s="11"/>
      <c r="N169" s="11"/>
      <c r="O169" s="21"/>
    </row>
    <row r="170" customFormat="false" ht="21.75" hidden="false" customHeight="true" outlineLevel="0" collapsed="false">
      <c r="A170" s="22"/>
      <c r="B170" s="5"/>
      <c r="C170" s="7"/>
      <c r="D170" s="23"/>
      <c r="E170" s="23"/>
      <c r="F170" s="23"/>
      <c r="G170" s="19" t="str">
        <f aca="false">IFERROR(F170/D170,"")</f>
        <v/>
      </c>
      <c r="H170" s="20" t="str">
        <f aca="false">IFERROR(C170/F170,"")</f>
        <v/>
      </c>
      <c r="I170" s="20" t="str">
        <f aca="false">IFERROR(C170/D170*1000,"")</f>
        <v/>
      </c>
      <c r="J170" s="5"/>
      <c r="K170" s="20" t="str">
        <f aca="false">IFERROR(C170/J170,"")</f>
        <v/>
      </c>
      <c r="L170" s="19" t="str">
        <f aca="false">IFERROR(J170/F170,"")</f>
        <v/>
      </c>
      <c r="M170" s="5"/>
      <c r="N170" s="5"/>
      <c r="O170" s="24"/>
    </row>
    <row r="171" customFormat="false" ht="21.75" hidden="false" customHeight="true" outlineLevel="0" collapsed="false">
      <c r="A171" s="17"/>
      <c r="B171" s="11"/>
      <c r="C171" s="12"/>
      <c r="D171" s="18"/>
      <c r="E171" s="18"/>
      <c r="F171" s="18"/>
      <c r="G171" s="19" t="str">
        <f aca="false">IFERROR(F171/D171,"")</f>
        <v/>
      </c>
      <c r="H171" s="20" t="str">
        <f aca="false">IFERROR(C171/F171,"")</f>
        <v/>
      </c>
      <c r="I171" s="20" t="str">
        <f aca="false">IFERROR(C171/D171*1000,"")</f>
        <v/>
      </c>
      <c r="J171" s="11"/>
      <c r="K171" s="20" t="str">
        <f aca="false">IFERROR(C171/J171,"")</f>
        <v/>
      </c>
      <c r="L171" s="19" t="str">
        <f aca="false">IFERROR(J171/F171,"")</f>
        <v/>
      </c>
      <c r="M171" s="11"/>
      <c r="N171" s="11"/>
      <c r="O171" s="21"/>
    </row>
    <row r="172" customFormat="false" ht="21.75" hidden="false" customHeight="true" outlineLevel="0" collapsed="false">
      <c r="A172" s="22"/>
      <c r="B172" s="5"/>
      <c r="C172" s="7"/>
      <c r="D172" s="23"/>
      <c r="E172" s="23"/>
      <c r="F172" s="23"/>
      <c r="G172" s="19" t="str">
        <f aca="false">IFERROR(F172/D172,"")</f>
        <v/>
      </c>
      <c r="H172" s="20" t="str">
        <f aca="false">IFERROR(C172/F172,"")</f>
        <v/>
      </c>
      <c r="I172" s="20" t="str">
        <f aca="false">IFERROR(C172/D172*1000,"")</f>
        <v/>
      </c>
      <c r="J172" s="5"/>
      <c r="K172" s="20" t="str">
        <f aca="false">IFERROR(C172/J172,"")</f>
        <v/>
      </c>
      <c r="L172" s="19" t="str">
        <f aca="false">IFERROR(J172/F172,"")</f>
        <v/>
      </c>
      <c r="M172" s="5"/>
      <c r="N172" s="5"/>
      <c r="O172" s="24"/>
    </row>
    <row r="173" customFormat="false" ht="21.75" hidden="false" customHeight="true" outlineLevel="0" collapsed="false">
      <c r="A173" s="17"/>
      <c r="B173" s="11"/>
      <c r="C173" s="12"/>
      <c r="D173" s="18"/>
      <c r="E173" s="18"/>
      <c r="F173" s="18"/>
      <c r="G173" s="19" t="str">
        <f aca="false">IFERROR(F173/D173,"")</f>
        <v/>
      </c>
      <c r="H173" s="20" t="str">
        <f aca="false">IFERROR(C173/F173,"")</f>
        <v/>
      </c>
      <c r="I173" s="20" t="str">
        <f aca="false">IFERROR(C173/D173*1000,"")</f>
        <v/>
      </c>
      <c r="J173" s="11"/>
      <c r="K173" s="20" t="str">
        <f aca="false">IFERROR(C173/J173,"")</f>
        <v/>
      </c>
      <c r="L173" s="19" t="str">
        <f aca="false">IFERROR(J173/F173,"")</f>
        <v/>
      </c>
      <c r="M173" s="11"/>
      <c r="N173" s="11"/>
      <c r="O173" s="21"/>
    </row>
    <row r="174" customFormat="false" ht="21.75" hidden="false" customHeight="true" outlineLevel="0" collapsed="false">
      <c r="A174" s="22"/>
      <c r="B174" s="5"/>
      <c r="C174" s="7"/>
      <c r="D174" s="23"/>
      <c r="E174" s="23"/>
      <c r="F174" s="23"/>
      <c r="G174" s="19" t="str">
        <f aca="false">IFERROR(F174/D174,"")</f>
        <v/>
      </c>
      <c r="H174" s="20" t="str">
        <f aca="false">IFERROR(C174/F174,"")</f>
        <v/>
      </c>
      <c r="I174" s="20" t="str">
        <f aca="false">IFERROR(C174/D174*1000,"")</f>
        <v/>
      </c>
      <c r="J174" s="5"/>
      <c r="K174" s="20" t="str">
        <f aca="false">IFERROR(C174/J174,"")</f>
        <v/>
      </c>
      <c r="L174" s="19" t="str">
        <f aca="false">IFERROR(J174/F174,"")</f>
        <v/>
      </c>
      <c r="M174" s="5"/>
      <c r="N174" s="5"/>
      <c r="O174" s="24"/>
    </row>
    <row r="175" customFormat="false" ht="21.75" hidden="false" customHeight="true" outlineLevel="0" collapsed="false">
      <c r="A175" s="17"/>
      <c r="B175" s="11"/>
      <c r="C175" s="12"/>
      <c r="D175" s="18"/>
      <c r="E175" s="18"/>
      <c r="F175" s="18"/>
      <c r="G175" s="19" t="str">
        <f aca="false">IFERROR(F175/D175,"")</f>
        <v/>
      </c>
      <c r="H175" s="20" t="str">
        <f aca="false">IFERROR(C175/F175,"")</f>
        <v/>
      </c>
      <c r="I175" s="20" t="str">
        <f aca="false">IFERROR(C175/D175*1000,"")</f>
        <v/>
      </c>
      <c r="J175" s="11"/>
      <c r="K175" s="20" t="str">
        <f aca="false">IFERROR(C175/J175,"")</f>
        <v/>
      </c>
      <c r="L175" s="19" t="str">
        <f aca="false">IFERROR(J175/F175,"")</f>
        <v/>
      </c>
      <c r="M175" s="11"/>
      <c r="N175" s="11"/>
      <c r="O175" s="21"/>
    </row>
    <row r="176" customFormat="false" ht="21.75" hidden="false" customHeight="true" outlineLevel="0" collapsed="false">
      <c r="A176" s="22"/>
      <c r="B176" s="5"/>
      <c r="C176" s="7"/>
      <c r="D176" s="23"/>
      <c r="E176" s="23"/>
      <c r="F176" s="23"/>
      <c r="G176" s="19" t="str">
        <f aca="false">IFERROR(F176/D176,"")</f>
        <v/>
      </c>
      <c r="H176" s="20" t="str">
        <f aca="false">IFERROR(C176/F176,"")</f>
        <v/>
      </c>
      <c r="I176" s="20" t="str">
        <f aca="false">IFERROR(C176/D176*1000,"")</f>
        <v/>
      </c>
      <c r="J176" s="5"/>
      <c r="K176" s="20" t="str">
        <f aca="false">IFERROR(C176/J176,"")</f>
        <v/>
      </c>
      <c r="L176" s="19" t="str">
        <f aca="false">IFERROR(J176/F176,"")</f>
        <v/>
      </c>
      <c r="M176" s="5"/>
      <c r="N176" s="5"/>
      <c r="O176" s="24"/>
    </row>
    <row r="177" customFormat="false" ht="21.75" hidden="false" customHeight="true" outlineLevel="0" collapsed="false">
      <c r="A177" s="17"/>
      <c r="B177" s="11"/>
      <c r="C177" s="12"/>
      <c r="D177" s="18"/>
      <c r="E177" s="18"/>
      <c r="F177" s="18"/>
      <c r="G177" s="19" t="str">
        <f aca="false">IFERROR(F177/D177,"")</f>
        <v/>
      </c>
      <c r="H177" s="20" t="str">
        <f aca="false">IFERROR(C177/F177,"")</f>
        <v/>
      </c>
      <c r="I177" s="20" t="str">
        <f aca="false">IFERROR(C177/D177*1000,"")</f>
        <v/>
      </c>
      <c r="J177" s="11"/>
      <c r="K177" s="20" t="str">
        <f aca="false">IFERROR(C177/J177,"")</f>
        <v/>
      </c>
      <c r="L177" s="19" t="str">
        <f aca="false">IFERROR(J177/F177,"")</f>
        <v/>
      </c>
      <c r="M177" s="11"/>
      <c r="N177" s="11"/>
      <c r="O177" s="21"/>
    </row>
    <row r="178" customFormat="false" ht="21.75" hidden="false" customHeight="true" outlineLevel="0" collapsed="false">
      <c r="A178" s="22"/>
      <c r="B178" s="5"/>
      <c r="C178" s="7"/>
      <c r="D178" s="23"/>
      <c r="E178" s="23"/>
      <c r="F178" s="23"/>
      <c r="G178" s="19" t="str">
        <f aca="false">IFERROR(F178/D178,"")</f>
        <v/>
      </c>
      <c r="H178" s="20" t="str">
        <f aca="false">IFERROR(C178/F178,"")</f>
        <v/>
      </c>
      <c r="I178" s="20" t="str">
        <f aca="false">IFERROR(C178/D178*1000,"")</f>
        <v/>
      </c>
      <c r="J178" s="5"/>
      <c r="K178" s="20" t="str">
        <f aca="false">IFERROR(C178/J178,"")</f>
        <v/>
      </c>
      <c r="L178" s="19" t="str">
        <f aca="false">IFERROR(J178/F178,"")</f>
        <v/>
      </c>
      <c r="M178" s="5"/>
      <c r="N178" s="5"/>
      <c r="O178" s="24"/>
    </row>
    <row r="179" customFormat="false" ht="21.75" hidden="false" customHeight="true" outlineLevel="0" collapsed="false">
      <c r="A179" s="17"/>
      <c r="B179" s="11"/>
      <c r="C179" s="12"/>
      <c r="D179" s="18"/>
      <c r="E179" s="18"/>
      <c r="F179" s="18"/>
      <c r="G179" s="19" t="str">
        <f aca="false">IFERROR(F179/D179,"")</f>
        <v/>
      </c>
      <c r="H179" s="20" t="str">
        <f aca="false">IFERROR(C179/F179,"")</f>
        <v/>
      </c>
      <c r="I179" s="20" t="str">
        <f aca="false">IFERROR(C179/D179*1000,"")</f>
        <v/>
      </c>
      <c r="J179" s="11"/>
      <c r="K179" s="20" t="str">
        <f aca="false">IFERROR(C179/J179,"")</f>
        <v/>
      </c>
      <c r="L179" s="19" t="str">
        <f aca="false">IFERROR(J179/F179,"")</f>
        <v/>
      </c>
      <c r="M179" s="11"/>
      <c r="N179" s="11"/>
      <c r="O179" s="21"/>
    </row>
    <row r="180" customFormat="false" ht="21.75" hidden="false" customHeight="true" outlineLevel="0" collapsed="false">
      <c r="A180" s="22"/>
      <c r="B180" s="5"/>
      <c r="C180" s="7"/>
      <c r="D180" s="23"/>
      <c r="E180" s="23"/>
      <c r="F180" s="23"/>
      <c r="G180" s="19" t="str">
        <f aca="false">IFERROR(F180/D180,"")</f>
        <v/>
      </c>
      <c r="H180" s="20" t="str">
        <f aca="false">IFERROR(C180/F180,"")</f>
        <v/>
      </c>
      <c r="I180" s="20" t="str">
        <f aca="false">IFERROR(C180/D180*1000,"")</f>
        <v/>
      </c>
      <c r="J180" s="5"/>
      <c r="K180" s="20" t="str">
        <f aca="false">IFERROR(C180/J180,"")</f>
        <v/>
      </c>
      <c r="L180" s="19" t="str">
        <f aca="false">IFERROR(J180/F180,"")</f>
        <v/>
      </c>
      <c r="M180" s="5"/>
      <c r="N180" s="5"/>
      <c r="O180" s="24"/>
    </row>
    <row r="181" customFormat="false" ht="21.75" hidden="false" customHeight="true" outlineLevel="0" collapsed="false">
      <c r="A181" s="17"/>
      <c r="B181" s="11"/>
      <c r="C181" s="12"/>
      <c r="D181" s="18"/>
      <c r="E181" s="18"/>
      <c r="F181" s="18"/>
      <c r="G181" s="19" t="str">
        <f aca="false">IFERROR(F181/D181,"")</f>
        <v/>
      </c>
      <c r="H181" s="20" t="str">
        <f aca="false">IFERROR(C181/F181,"")</f>
        <v/>
      </c>
      <c r="I181" s="20" t="str">
        <f aca="false">IFERROR(C181/D181*1000,"")</f>
        <v/>
      </c>
      <c r="J181" s="11"/>
      <c r="K181" s="20" t="str">
        <f aca="false">IFERROR(C181/J181,"")</f>
        <v/>
      </c>
      <c r="L181" s="19" t="str">
        <f aca="false">IFERROR(J181/F181,"")</f>
        <v/>
      </c>
      <c r="M181" s="11"/>
      <c r="N181" s="11"/>
      <c r="O181" s="21"/>
    </row>
    <row r="182" customFormat="false" ht="21.75" hidden="false" customHeight="true" outlineLevel="0" collapsed="false">
      <c r="A182" s="22"/>
      <c r="B182" s="5"/>
      <c r="C182" s="7"/>
      <c r="D182" s="23"/>
      <c r="E182" s="23"/>
      <c r="F182" s="23"/>
      <c r="G182" s="19" t="str">
        <f aca="false">IFERROR(F182/D182,"")</f>
        <v/>
      </c>
      <c r="H182" s="20" t="str">
        <f aca="false">IFERROR(C182/F182,"")</f>
        <v/>
      </c>
      <c r="I182" s="20" t="str">
        <f aca="false">IFERROR(C182/D182*1000,"")</f>
        <v/>
      </c>
      <c r="J182" s="5"/>
      <c r="K182" s="20" t="str">
        <f aca="false">IFERROR(C182/J182,"")</f>
        <v/>
      </c>
      <c r="L182" s="19" t="str">
        <f aca="false">IFERROR(J182/F182,"")</f>
        <v/>
      </c>
      <c r="M182" s="5"/>
      <c r="N182" s="5"/>
      <c r="O182" s="24"/>
    </row>
    <row r="183" customFormat="false" ht="21.75" hidden="false" customHeight="true" outlineLevel="0" collapsed="false">
      <c r="A183" s="17"/>
      <c r="B183" s="11"/>
      <c r="C183" s="12"/>
      <c r="D183" s="18"/>
      <c r="E183" s="18"/>
      <c r="F183" s="18"/>
      <c r="G183" s="19" t="str">
        <f aca="false">IFERROR(F183/D183,"")</f>
        <v/>
      </c>
      <c r="H183" s="20" t="str">
        <f aca="false">IFERROR(C183/F183,"")</f>
        <v/>
      </c>
      <c r="I183" s="20" t="str">
        <f aca="false">IFERROR(C183/D183*1000,"")</f>
        <v/>
      </c>
      <c r="J183" s="11"/>
      <c r="K183" s="20" t="str">
        <f aca="false">IFERROR(C183/J183,"")</f>
        <v/>
      </c>
      <c r="L183" s="19" t="str">
        <f aca="false">IFERROR(J183/F183,"")</f>
        <v/>
      </c>
      <c r="M183" s="11"/>
      <c r="N183" s="11"/>
      <c r="O183" s="21"/>
    </row>
    <row r="184" customFormat="false" ht="21.75" hidden="false" customHeight="true" outlineLevel="0" collapsed="false">
      <c r="A184" s="22"/>
      <c r="B184" s="5"/>
      <c r="C184" s="7"/>
      <c r="D184" s="23"/>
      <c r="E184" s="23"/>
      <c r="F184" s="23"/>
      <c r="G184" s="19" t="str">
        <f aca="false">IFERROR(F184/D184,"")</f>
        <v/>
      </c>
      <c r="H184" s="20" t="str">
        <f aca="false">IFERROR(C184/F184,"")</f>
        <v/>
      </c>
      <c r="I184" s="20" t="str">
        <f aca="false">IFERROR(C184/D184*1000,"")</f>
        <v/>
      </c>
      <c r="J184" s="5"/>
      <c r="K184" s="20" t="str">
        <f aca="false">IFERROR(C184/J184,"")</f>
        <v/>
      </c>
      <c r="L184" s="19" t="str">
        <f aca="false">IFERROR(J184/F184,"")</f>
        <v/>
      </c>
      <c r="M184" s="5"/>
      <c r="N184" s="5"/>
      <c r="O184" s="24"/>
    </row>
    <row r="185" customFormat="false" ht="21.75" hidden="false" customHeight="true" outlineLevel="0" collapsed="false">
      <c r="A185" s="17"/>
      <c r="B185" s="11"/>
      <c r="C185" s="12"/>
      <c r="D185" s="18"/>
      <c r="E185" s="18"/>
      <c r="F185" s="18"/>
      <c r="G185" s="19" t="str">
        <f aca="false">IFERROR(F185/D185,"")</f>
        <v/>
      </c>
      <c r="H185" s="20" t="str">
        <f aca="false">IFERROR(C185/F185,"")</f>
        <v/>
      </c>
      <c r="I185" s="20" t="str">
        <f aca="false">IFERROR(C185/D185*1000,"")</f>
        <v/>
      </c>
      <c r="J185" s="11"/>
      <c r="K185" s="20" t="str">
        <f aca="false">IFERROR(C185/J185,"")</f>
        <v/>
      </c>
      <c r="L185" s="19" t="str">
        <f aca="false">IFERROR(J185/F185,"")</f>
        <v/>
      </c>
      <c r="M185" s="11"/>
      <c r="N185" s="11"/>
      <c r="O185" s="21"/>
    </row>
    <row r="186" customFormat="false" ht="21.75" hidden="false" customHeight="true" outlineLevel="0" collapsed="false">
      <c r="A186" s="22"/>
      <c r="B186" s="5"/>
      <c r="C186" s="7"/>
      <c r="D186" s="23"/>
      <c r="E186" s="23"/>
      <c r="F186" s="23"/>
      <c r="G186" s="19" t="str">
        <f aca="false">IFERROR(F186/D186,"")</f>
        <v/>
      </c>
      <c r="H186" s="20" t="str">
        <f aca="false">IFERROR(C186/F186,"")</f>
        <v/>
      </c>
      <c r="I186" s="20" t="str">
        <f aca="false">IFERROR(C186/D186*1000,"")</f>
        <v/>
      </c>
      <c r="J186" s="5"/>
      <c r="K186" s="20" t="str">
        <f aca="false">IFERROR(C186/J186,"")</f>
        <v/>
      </c>
      <c r="L186" s="19" t="str">
        <f aca="false">IFERROR(J186/F186,"")</f>
        <v/>
      </c>
      <c r="M186" s="5"/>
      <c r="N186" s="5"/>
      <c r="O186" s="24"/>
    </row>
    <row r="187" customFormat="false" ht="21.75" hidden="false" customHeight="true" outlineLevel="0" collapsed="false">
      <c r="A187" s="17"/>
      <c r="B187" s="11"/>
      <c r="C187" s="12"/>
      <c r="D187" s="18"/>
      <c r="E187" s="18"/>
      <c r="F187" s="18"/>
      <c r="G187" s="19" t="str">
        <f aca="false">IFERROR(F187/D187,"")</f>
        <v/>
      </c>
      <c r="H187" s="20" t="str">
        <f aca="false">IFERROR(C187/F187,"")</f>
        <v/>
      </c>
      <c r="I187" s="20" t="str">
        <f aca="false">IFERROR(C187/D187*1000,"")</f>
        <v/>
      </c>
      <c r="J187" s="11"/>
      <c r="K187" s="20" t="str">
        <f aca="false">IFERROR(C187/J187,"")</f>
        <v/>
      </c>
      <c r="L187" s="19" t="str">
        <f aca="false">IFERROR(J187/F187,"")</f>
        <v/>
      </c>
      <c r="M187" s="11"/>
      <c r="N187" s="11"/>
      <c r="O187" s="21"/>
    </row>
    <row r="188" customFormat="false" ht="21.75" hidden="false" customHeight="true" outlineLevel="0" collapsed="false">
      <c r="A188" s="22"/>
      <c r="B188" s="5"/>
      <c r="C188" s="7"/>
      <c r="D188" s="23"/>
      <c r="E188" s="23"/>
      <c r="F188" s="23"/>
      <c r="G188" s="19" t="str">
        <f aca="false">IFERROR(F188/D188,"")</f>
        <v/>
      </c>
      <c r="H188" s="20" t="str">
        <f aca="false">IFERROR(C188/F188,"")</f>
        <v/>
      </c>
      <c r="I188" s="20" t="str">
        <f aca="false">IFERROR(C188/D188*1000,"")</f>
        <v/>
      </c>
      <c r="J188" s="5"/>
      <c r="K188" s="20" t="str">
        <f aca="false">IFERROR(C188/J188,"")</f>
        <v/>
      </c>
      <c r="L188" s="19" t="str">
        <f aca="false">IFERROR(J188/F188,"")</f>
        <v/>
      </c>
      <c r="M188" s="5"/>
      <c r="N188" s="5"/>
      <c r="O188" s="24"/>
    </row>
    <row r="189" customFormat="false" ht="21.75" hidden="false" customHeight="true" outlineLevel="0" collapsed="false">
      <c r="A189" s="17"/>
      <c r="B189" s="11"/>
      <c r="C189" s="12"/>
      <c r="D189" s="18"/>
      <c r="E189" s="18"/>
      <c r="F189" s="18"/>
      <c r="G189" s="19" t="str">
        <f aca="false">IFERROR(F189/D189,"")</f>
        <v/>
      </c>
      <c r="H189" s="20" t="str">
        <f aca="false">IFERROR(C189/F189,"")</f>
        <v/>
      </c>
      <c r="I189" s="20" t="str">
        <f aca="false">IFERROR(C189/D189*1000,"")</f>
        <v/>
      </c>
      <c r="J189" s="11"/>
      <c r="K189" s="20" t="str">
        <f aca="false">IFERROR(C189/J189,"")</f>
        <v/>
      </c>
      <c r="L189" s="19" t="str">
        <f aca="false">IFERROR(J189/F189,"")</f>
        <v/>
      </c>
      <c r="M189" s="11"/>
      <c r="N189" s="11"/>
      <c r="O189" s="21"/>
    </row>
    <row r="190" customFormat="false" ht="21.75" hidden="false" customHeight="true" outlineLevel="0" collapsed="false">
      <c r="A190" s="22"/>
      <c r="B190" s="5"/>
      <c r="C190" s="7"/>
      <c r="D190" s="23"/>
      <c r="E190" s="23"/>
      <c r="F190" s="23"/>
      <c r="G190" s="19" t="str">
        <f aca="false">IFERROR(F190/D190,"")</f>
        <v/>
      </c>
      <c r="H190" s="20" t="str">
        <f aca="false">IFERROR(C190/F190,"")</f>
        <v/>
      </c>
      <c r="I190" s="20" t="str">
        <f aca="false">IFERROR(C190/D190*1000,"")</f>
        <v/>
      </c>
      <c r="J190" s="5"/>
      <c r="K190" s="20" t="str">
        <f aca="false">IFERROR(C190/J190,"")</f>
        <v/>
      </c>
      <c r="L190" s="19" t="str">
        <f aca="false">IFERROR(J190/F190,"")</f>
        <v/>
      </c>
      <c r="M190" s="5"/>
      <c r="N190" s="5"/>
      <c r="O190" s="24"/>
    </row>
    <row r="191" customFormat="false" ht="21.75" hidden="false" customHeight="true" outlineLevel="0" collapsed="false">
      <c r="A191" s="17"/>
      <c r="B191" s="11"/>
      <c r="C191" s="12"/>
      <c r="D191" s="18"/>
      <c r="E191" s="18"/>
      <c r="F191" s="18"/>
      <c r="G191" s="19" t="str">
        <f aca="false">IFERROR(F191/D191,"")</f>
        <v/>
      </c>
      <c r="H191" s="20" t="str">
        <f aca="false">IFERROR(C191/F191,"")</f>
        <v/>
      </c>
      <c r="I191" s="20" t="str">
        <f aca="false">IFERROR(C191/D191*1000,"")</f>
        <v/>
      </c>
      <c r="J191" s="11"/>
      <c r="K191" s="20" t="str">
        <f aca="false">IFERROR(C191/J191,"")</f>
        <v/>
      </c>
      <c r="L191" s="19" t="str">
        <f aca="false">IFERROR(J191/F191,"")</f>
        <v/>
      </c>
      <c r="M191" s="11"/>
      <c r="N191" s="11"/>
      <c r="O191" s="21"/>
    </row>
    <row r="192" customFormat="false" ht="21.75" hidden="false" customHeight="true" outlineLevel="0" collapsed="false">
      <c r="A192" s="22"/>
      <c r="B192" s="5"/>
      <c r="C192" s="7"/>
      <c r="D192" s="23"/>
      <c r="E192" s="23"/>
      <c r="F192" s="23"/>
      <c r="G192" s="19" t="str">
        <f aca="false">IFERROR(F192/D192,"")</f>
        <v/>
      </c>
      <c r="H192" s="20" t="str">
        <f aca="false">IFERROR(C192/F192,"")</f>
        <v/>
      </c>
      <c r="I192" s="20" t="str">
        <f aca="false">IFERROR(C192/D192*1000,"")</f>
        <v/>
      </c>
      <c r="J192" s="5"/>
      <c r="K192" s="20" t="str">
        <f aca="false">IFERROR(C192/J192,"")</f>
        <v/>
      </c>
      <c r="L192" s="19" t="str">
        <f aca="false">IFERROR(J192/F192,"")</f>
        <v/>
      </c>
      <c r="M192" s="5"/>
      <c r="N192" s="5"/>
      <c r="O192" s="24"/>
    </row>
    <row r="193" customFormat="false" ht="21.75" hidden="false" customHeight="true" outlineLevel="0" collapsed="false">
      <c r="A193" s="17"/>
      <c r="B193" s="11"/>
      <c r="C193" s="12"/>
      <c r="D193" s="18"/>
      <c r="E193" s="18"/>
      <c r="F193" s="18"/>
      <c r="G193" s="19" t="str">
        <f aca="false">IFERROR(F193/D193,"")</f>
        <v/>
      </c>
      <c r="H193" s="20" t="str">
        <f aca="false">IFERROR(C193/F193,"")</f>
        <v/>
      </c>
      <c r="I193" s="20" t="str">
        <f aca="false">IFERROR(C193/D193*1000,"")</f>
        <v/>
      </c>
      <c r="J193" s="11"/>
      <c r="K193" s="20" t="str">
        <f aca="false">IFERROR(C193/J193,"")</f>
        <v/>
      </c>
      <c r="L193" s="19" t="str">
        <f aca="false">IFERROR(J193/F193,"")</f>
        <v/>
      </c>
      <c r="M193" s="11"/>
      <c r="N193" s="11"/>
      <c r="O193" s="21"/>
    </row>
    <row r="194" customFormat="false" ht="21.75" hidden="false" customHeight="true" outlineLevel="0" collapsed="false">
      <c r="A194" s="22"/>
      <c r="B194" s="5"/>
      <c r="C194" s="7"/>
      <c r="D194" s="23"/>
      <c r="E194" s="23"/>
      <c r="F194" s="23"/>
      <c r="G194" s="19" t="str">
        <f aca="false">IFERROR(F194/D194,"")</f>
        <v/>
      </c>
      <c r="H194" s="20" t="str">
        <f aca="false">IFERROR(C194/F194,"")</f>
        <v/>
      </c>
      <c r="I194" s="20" t="str">
        <f aca="false">IFERROR(C194/D194*1000,"")</f>
        <v/>
      </c>
      <c r="J194" s="5"/>
      <c r="K194" s="20" t="str">
        <f aca="false">IFERROR(C194/J194,"")</f>
        <v/>
      </c>
      <c r="L194" s="19" t="str">
        <f aca="false">IFERROR(J194/F194,"")</f>
        <v/>
      </c>
      <c r="M194" s="5"/>
      <c r="N194" s="5"/>
      <c r="O194" s="24"/>
    </row>
    <row r="195" customFormat="false" ht="21.75" hidden="false" customHeight="true" outlineLevel="0" collapsed="false">
      <c r="A195" s="17"/>
      <c r="B195" s="11"/>
      <c r="C195" s="12"/>
      <c r="D195" s="18"/>
      <c r="E195" s="18"/>
      <c r="F195" s="18"/>
      <c r="G195" s="19" t="str">
        <f aca="false">IFERROR(F195/D195,"")</f>
        <v/>
      </c>
      <c r="H195" s="20" t="str">
        <f aca="false">IFERROR(C195/F195,"")</f>
        <v/>
      </c>
      <c r="I195" s="20" t="str">
        <f aca="false">IFERROR(C195/D195*1000,"")</f>
        <v/>
      </c>
      <c r="J195" s="11"/>
      <c r="K195" s="20" t="str">
        <f aca="false">IFERROR(C195/J195,"")</f>
        <v/>
      </c>
      <c r="L195" s="19" t="str">
        <f aca="false">IFERROR(J195/F195,"")</f>
        <v/>
      </c>
      <c r="M195" s="11"/>
      <c r="N195" s="11"/>
      <c r="O195" s="21"/>
    </row>
    <row r="196" customFormat="false" ht="21.75" hidden="false" customHeight="true" outlineLevel="0" collapsed="false">
      <c r="A196" s="22"/>
      <c r="B196" s="5"/>
      <c r="C196" s="7"/>
      <c r="D196" s="23"/>
      <c r="E196" s="23"/>
      <c r="F196" s="23"/>
      <c r="G196" s="19" t="str">
        <f aca="false">IFERROR(F196/D196,"")</f>
        <v/>
      </c>
      <c r="H196" s="20" t="str">
        <f aca="false">IFERROR(C196/F196,"")</f>
        <v/>
      </c>
      <c r="I196" s="20" t="str">
        <f aca="false">IFERROR(C196/D196*1000,"")</f>
        <v/>
      </c>
      <c r="J196" s="5"/>
      <c r="K196" s="20" t="str">
        <f aca="false">IFERROR(C196/J196,"")</f>
        <v/>
      </c>
      <c r="L196" s="19" t="str">
        <f aca="false">IFERROR(J196/F196,"")</f>
        <v/>
      </c>
      <c r="M196" s="5"/>
      <c r="N196" s="5"/>
      <c r="O196" s="24"/>
    </row>
    <row r="197" customFormat="false" ht="21.75" hidden="false" customHeight="true" outlineLevel="0" collapsed="false">
      <c r="A197" s="17"/>
      <c r="B197" s="11"/>
      <c r="C197" s="12"/>
      <c r="D197" s="18"/>
      <c r="E197" s="18"/>
      <c r="F197" s="18"/>
      <c r="G197" s="19" t="str">
        <f aca="false">IFERROR(F197/D197,"")</f>
        <v/>
      </c>
      <c r="H197" s="20" t="str">
        <f aca="false">IFERROR(C197/F197,"")</f>
        <v/>
      </c>
      <c r="I197" s="20" t="str">
        <f aca="false">IFERROR(C197/D197*1000,"")</f>
        <v/>
      </c>
      <c r="J197" s="11"/>
      <c r="K197" s="20" t="str">
        <f aca="false">IFERROR(C197/J197,"")</f>
        <v/>
      </c>
      <c r="L197" s="19" t="str">
        <f aca="false">IFERROR(J197/F197,"")</f>
        <v/>
      </c>
      <c r="M197" s="11"/>
      <c r="N197" s="11"/>
      <c r="O197" s="21"/>
    </row>
    <row r="198" customFormat="false" ht="21.75" hidden="false" customHeight="true" outlineLevel="0" collapsed="false">
      <c r="A198" s="22"/>
      <c r="B198" s="5"/>
      <c r="C198" s="7"/>
      <c r="D198" s="23"/>
      <c r="E198" s="23"/>
      <c r="F198" s="23"/>
      <c r="G198" s="19" t="str">
        <f aca="false">IFERROR(F198/D198,"")</f>
        <v/>
      </c>
      <c r="H198" s="20" t="str">
        <f aca="false">IFERROR(C198/F198,"")</f>
        <v/>
      </c>
      <c r="I198" s="20" t="str">
        <f aca="false">IFERROR(C198/D198*1000,"")</f>
        <v/>
      </c>
      <c r="J198" s="5"/>
      <c r="K198" s="20" t="str">
        <f aca="false">IFERROR(C198/J198,"")</f>
        <v/>
      </c>
      <c r="L198" s="19" t="str">
        <f aca="false">IFERROR(J198/F198,"")</f>
        <v/>
      </c>
      <c r="M198" s="5"/>
      <c r="N198" s="5"/>
      <c r="O198" s="24"/>
    </row>
    <row r="199" customFormat="false" ht="21.75" hidden="false" customHeight="true" outlineLevel="0" collapsed="false">
      <c r="A199" s="17"/>
      <c r="B199" s="11"/>
      <c r="C199" s="12"/>
      <c r="D199" s="18"/>
      <c r="E199" s="18"/>
      <c r="F199" s="18"/>
      <c r="G199" s="19" t="str">
        <f aca="false">IFERROR(F199/D199,"")</f>
        <v/>
      </c>
      <c r="H199" s="20" t="str">
        <f aca="false">IFERROR(C199/F199,"")</f>
        <v/>
      </c>
      <c r="I199" s="20" t="str">
        <f aca="false">IFERROR(C199/D199*1000,"")</f>
        <v/>
      </c>
      <c r="J199" s="11"/>
      <c r="K199" s="20" t="str">
        <f aca="false">IFERROR(C199/J199,"")</f>
        <v/>
      </c>
      <c r="L199" s="19" t="str">
        <f aca="false">IFERROR(J199/F199,"")</f>
        <v/>
      </c>
      <c r="M199" s="11"/>
      <c r="N199" s="11"/>
      <c r="O199" s="21"/>
    </row>
    <row r="200" customFormat="false" ht="21.75" hidden="false" customHeight="true" outlineLevel="0" collapsed="false">
      <c r="A200" s="22"/>
      <c r="B200" s="5"/>
      <c r="C200" s="7"/>
      <c r="D200" s="23"/>
      <c r="E200" s="23"/>
      <c r="F200" s="23"/>
      <c r="G200" s="19" t="str">
        <f aca="false">IFERROR(F200/D200,"")</f>
        <v/>
      </c>
      <c r="H200" s="20" t="str">
        <f aca="false">IFERROR(C200/F200,"")</f>
        <v/>
      </c>
      <c r="I200" s="20" t="str">
        <f aca="false">IFERROR(C200/D200*1000,"")</f>
        <v/>
      </c>
      <c r="J200" s="5"/>
      <c r="K200" s="20" t="str">
        <f aca="false">IFERROR(C200/J200,"")</f>
        <v/>
      </c>
      <c r="L200" s="19" t="str">
        <f aca="false">IFERROR(J200/F200,"")</f>
        <v/>
      </c>
      <c r="M200" s="5"/>
      <c r="N200" s="5"/>
      <c r="O200" s="24"/>
    </row>
    <row r="201" customFormat="false" ht="21.75" hidden="false" customHeight="true" outlineLevel="0" collapsed="false">
      <c r="A201" s="17"/>
      <c r="B201" s="11"/>
      <c r="C201" s="12"/>
      <c r="D201" s="18"/>
      <c r="E201" s="18"/>
      <c r="F201" s="18"/>
      <c r="G201" s="19" t="str">
        <f aca="false">IFERROR(F201/D201,"")</f>
        <v/>
      </c>
      <c r="H201" s="20" t="str">
        <f aca="false">IFERROR(C201/F201,"")</f>
        <v/>
      </c>
      <c r="I201" s="20" t="str">
        <f aca="false">IFERROR(C201/D201*1000,"")</f>
        <v/>
      </c>
      <c r="J201" s="11"/>
      <c r="K201" s="20" t="str">
        <f aca="false">IFERROR(C201/J201,"")</f>
        <v/>
      </c>
      <c r="L201" s="19" t="str">
        <f aca="false">IFERROR(J201/F201,"")</f>
        <v/>
      </c>
      <c r="M201" s="11"/>
      <c r="N201" s="11"/>
      <c r="O201" s="21"/>
    </row>
    <row r="202" customFormat="false" ht="21.75" hidden="false" customHeight="true" outlineLevel="0" collapsed="false">
      <c r="A202" s="22"/>
      <c r="B202" s="5"/>
      <c r="C202" s="7"/>
      <c r="D202" s="23"/>
      <c r="E202" s="23"/>
      <c r="F202" s="23"/>
      <c r="G202" s="19" t="str">
        <f aca="false">IFERROR(F202/D202,"")</f>
        <v/>
      </c>
      <c r="H202" s="20" t="str">
        <f aca="false">IFERROR(C202/F202,"")</f>
        <v/>
      </c>
      <c r="I202" s="20" t="str">
        <f aca="false">IFERROR(C202/D202*1000,"")</f>
        <v/>
      </c>
      <c r="J202" s="5"/>
      <c r="K202" s="20" t="str">
        <f aca="false">IFERROR(C202/J202,"")</f>
        <v/>
      </c>
      <c r="L202" s="19" t="str">
        <f aca="false">IFERROR(J202/F202,"")</f>
        <v/>
      </c>
      <c r="M202" s="5"/>
      <c r="N202" s="5"/>
      <c r="O202" s="24"/>
    </row>
    <row r="203" customFormat="false" ht="21.75" hidden="false" customHeight="true" outlineLevel="0" collapsed="false">
      <c r="A203" s="17"/>
      <c r="B203" s="11"/>
      <c r="C203" s="12"/>
      <c r="D203" s="18"/>
      <c r="E203" s="18"/>
      <c r="F203" s="18"/>
      <c r="G203" s="19" t="str">
        <f aca="false">IFERROR(F203/D203,"")</f>
        <v/>
      </c>
      <c r="H203" s="20" t="str">
        <f aca="false">IFERROR(C203/F203,"")</f>
        <v/>
      </c>
      <c r="I203" s="20" t="str">
        <f aca="false">IFERROR(C203/D203*1000,"")</f>
        <v/>
      </c>
      <c r="J203" s="11"/>
      <c r="K203" s="20" t="str">
        <f aca="false">IFERROR(C203/J203,"")</f>
        <v/>
      </c>
      <c r="L203" s="19" t="str">
        <f aca="false">IFERROR(J203/F203,"")</f>
        <v/>
      </c>
      <c r="M203" s="11"/>
      <c r="N203" s="11"/>
      <c r="O203" s="21"/>
    </row>
    <row r="204" customFormat="false" ht="21.75" hidden="false" customHeight="true" outlineLevel="0" collapsed="false">
      <c r="A204" s="22"/>
      <c r="B204" s="5"/>
      <c r="C204" s="7"/>
      <c r="D204" s="23"/>
      <c r="E204" s="23"/>
      <c r="F204" s="23"/>
      <c r="G204" s="19" t="str">
        <f aca="false">IFERROR(F204/D204,"")</f>
        <v/>
      </c>
      <c r="H204" s="20" t="str">
        <f aca="false">IFERROR(C204/F204,"")</f>
        <v/>
      </c>
      <c r="I204" s="20" t="str">
        <f aca="false">IFERROR(C204/D204*1000,"")</f>
        <v/>
      </c>
      <c r="J204" s="5"/>
      <c r="K204" s="20" t="str">
        <f aca="false">IFERROR(C204/J204,"")</f>
        <v/>
      </c>
      <c r="L204" s="19" t="str">
        <f aca="false">IFERROR(J204/F204,"")</f>
        <v/>
      </c>
      <c r="M204" s="5"/>
      <c r="N204" s="5"/>
      <c r="O204" s="24"/>
    </row>
  </sheetData>
  <mergeCells count="5">
    <mergeCell ref="A1:O1"/>
    <mergeCell ref="A2:B2"/>
    <mergeCell ref="E2:F2"/>
    <mergeCell ref="H2:O2"/>
    <mergeCell ref="A3:O3"/>
  </mergeCells>
  <conditionalFormatting sqref="K5:K204">
    <cfRule type="expression" priority="2" aboveAverage="0" equalAverage="0" bottom="0" percent="0" rank="0" text="" dxfId="0">
      <formula>AND(B5="Meta Ads",ISNUMBER(K5),ISNUMBER($C$2),K5&lt;=$C$2)</formula>
    </cfRule>
    <cfRule type="expression" priority="3" aboveAverage="0" equalAverage="0" bottom="0" percent="0" rank="0" text="" dxfId="1">
      <formula>AND(B5="Meta Ads",ISNUMBER(K5),ISNUMBER($C$2),K5&gt;$C$2)</formula>
    </cfRule>
    <cfRule type="expression" priority="4" aboveAverage="0" equalAverage="0" bottom="0" percent="0" rank="0" text="" dxfId="0">
      <formula>AND(B5&lt;&gt;"Meta Ads",ISNUMBER(K5),ISNUMBER($G$2),K5&lt;=$G$2)</formula>
    </cfRule>
    <cfRule type="expression" priority="5" aboveAverage="0" equalAverage="0" bottom="0" percent="0" rank="0" text="" dxfId="1">
      <formula>AND(B5&lt;&gt;"Meta Ads",ISNUMBER(K5),ISNUMBER($G$2),K5&gt;$G$2)</formula>
    </cfRule>
  </conditionalFormatting>
  <dataValidations count="1">
    <dataValidation allowBlank="true" error="Selecione: Meta Ads, Google Search ou Google PMax" errorStyle="stop" errorTitle="Plataforma invalida" operator="between" showDropDown="false" showErrorMessage="true" showInputMessage="false" sqref="B5:B204" type="list">
      <formula1>"Meta Ads,Google Search,Google PMax"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5" min="4" style="0" width="13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9" min="8" style="0" width="11"/>
    <col collapsed="false" customWidth="true" hidden="false" outlineLevel="0" max="10" min="10" style="0" width="13"/>
    <col collapsed="false" customWidth="true" hidden="false" outlineLevel="0" max="12" min="11" style="0" width="12"/>
    <col collapsed="false" customWidth="true" hidden="false" outlineLevel="0" max="13" min="13" style="0" width="9"/>
    <col collapsed="false" customWidth="true" hidden="false" outlineLevel="0" max="14" min="14" style="0" width="12"/>
    <col collapsed="false" customWidth="true" hidden="false" outlineLevel="0" max="15" min="15" style="0" width="34"/>
  </cols>
  <sheetData>
    <row r="1" customFormat="false" ht="37.5" hidden="false" customHeight="true" outlineLevel="0" collapsed="false">
      <c r="A1" s="1" t="s">
        <v>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1.5" hidden="false" customHeight="true" outlineLevel="0" collapsed="false">
      <c r="A2" s="13" t="s">
        <v>22</v>
      </c>
      <c r="B2" s="13"/>
      <c r="C2" s="14"/>
      <c r="E2" s="13" t="s">
        <v>23</v>
      </c>
      <c r="F2" s="13"/>
      <c r="G2" s="14"/>
      <c r="H2" s="15" t="s">
        <v>24</v>
      </c>
      <c r="I2" s="15"/>
      <c r="J2" s="15"/>
      <c r="K2" s="15"/>
      <c r="L2" s="15"/>
      <c r="M2" s="15"/>
      <c r="N2" s="15"/>
      <c r="O2" s="15"/>
    </row>
    <row r="3" customFormat="false" ht="6" hidden="false" customHeight="true" outlineLevel="0" collapsed="false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customFormat="false" ht="48" hidden="false" customHeight="true" outlineLevel="0" collapsed="false">
      <c r="A4" s="3" t="s">
        <v>25</v>
      </c>
      <c r="B4" s="3" t="s">
        <v>3</v>
      </c>
      <c r="C4" s="3" t="s">
        <v>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31</v>
      </c>
      <c r="J4" s="3" t="s">
        <v>32</v>
      </c>
      <c r="K4" s="3" t="s">
        <v>7</v>
      </c>
      <c r="L4" s="3" t="s">
        <v>33</v>
      </c>
      <c r="M4" s="3" t="s">
        <v>34</v>
      </c>
      <c r="N4" s="3" t="s">
        <v>35</v>
      </c>
      <c r="O4" s="3" t="s">
        <v>36</v>
      </c>
    </row>
    <row r="5" customFormat="false" ht="21.75" hidden="false" customHeight="true" outlineLevel="0" collapsed="false">
      <c r="A5" s="17"/>
      <c r="B5" s="11"/>
      <c r="C5" s="12"/>
      <c r="D5" s="18"/>
      <c r="E5" s="18"/>
      <c r="F5" s="18"/>
      <c r="G5" s="19" t="str">
        <f aca="false">IFERROR(F5/D5,"")</f>
        <v/>
      </c>
      <c r="H5" s="20" t="str">
        <f aca="false">IFERROR(C5/F5,"")</f>
        <v/>
      </c>
      <c r="I5" s="20" t="str">
        <f aca="false">IFERROR(C5/D5*1000,"")</f>
        <v/>
      </c>
      <c r="J5" s="11"/>
      <c r="K5" s="20" t="str">
        <f aca="false">IFERROR(C5/J5,"")</f>
        <v/>
      </c>
      <c r="L5" s="19" t="str">
        <f aca="false">IFERROR(J5/F5,"")</f>
        <v/>
      </c>
      <c r="M5" s="11"/>
      <c r="N5" s="11"/>
      <c r="O5" s="21"/>
    </row>
    <row r="6" customFormat="false" ht="21.75" hidden="false" customHeight="true" outlineLevel="0" collapsed="false">
      <c r="A6" s="22"/>
      <c r="B6" s="5"/>
      <c r="C6" s="7"/>
      <c r="D6" s="23"/>
      <c r="E6" s="23"/>
      <c r="F6" s="23"/>
      <c r="G6" s="19" t="str">
        <f aca="false">IFERROR(F6/D6,"")</f>
        <v/>
      </c>
      <c r="H6" s="20" t="str">
        <f aca="false">IFERROR(C6/F6,"")</f>
        <v/>
      </c>
      <c r="I6" s="20" t="str">
        <f aca="false">IFERROR(C6/D6*1000,"")</f>
        <v/>
      </c>
      <c r="J6" s="5"/>
      <c r="K6" s="20" t="str">
        <f aca="false">IFERROR(C6/J6,"")</f>
        <v/>
      </c>
      <c r="L6" s="19" t="str">
        <f aca="false">IFERROR(J6/F6,"")</f>
        <v/>
      </c>
      <c r="M6" s="5"/>
      <c r="N6" s="5"/>
      <c r="O6" s="24"/>
    </row>
    <row r="7" customFormat="false" ht="21.75" hidden="false" customHeight="true" outlineLevel="0" collapsed="false">
      <c r="A7" s="17"/>
      <c r="B7" s="11"/>
      <c r="C7" s="12"/>
      <c r="D7" s="18"/>
      <c r="E7" s="18"/>
      <c r="F7" s="18"/>
      <c r="G7" s="19" t="str">
        <f aca="false">IFERROR(F7/D7,"")</f>
        <v/>
      </c>
      <c r="H7" s="20" t="str">
        <f aca="false">IFERROR(C7/F7,"")</f>
        <v/>
      </c>
      <c r="I7" s="20" t="str">
        <f aca="false">IFERROR(C7/D7*1000,"")</f>
        <v/>
      </c>
      <c r="J7" s="11"/>
      <c r="K7" s="20" t="str">
        <f aca="false">IFERROR(C7/J7,"")</f>
        <v/>
      </c>
      <c r="L7" s="19" t="str">
        <f aca="false">IFERROR(J7/F7,"")</f>
        <v/>
      </c>
      <c r="M7" s="11"/>
      <c r="N7" s="11"/>
      <c r="O7" s="21"/>
    </row>
    <row r="8" customFormat="false" ht="21.75" hidden="false" customHeight="true" outlineLevel="0" collapsed="false">
      <c r="A8" s="22"/>
      <c r="B8" s="5"/>
      <c r="C8" s="7"/>
      <c r="D8" s="23"/>
      <c r="E8" s="23"/>
      <c r="F8" s="23"/>
      <c r="G8" s="19" t="str">
        <f aca="false">IFERROR(F8/D8,"")</f>
        <v/>
      </c>
      <c r="H8" s="20" t="str">
        <f aca="false">IFERROR(C8/F8,"")</f>
        <v/>
      </c>
      <c r="I8" s="20" t="str">
        <f aca="false">IFERROR(C8/D8*1000,"")</f>
        <v/>
      </c>
      <c r="J8" s="5"/>
      <c r="K8" s="20" t="str">
        <f aca="false">IFERROR(C8/J8,"")</f>
        <v/>
      </c>
      <c r="L8" s="19" t="str">
        <f aca="false">IFERROR(J8/F8,"")</f>
        <v/>
      </c>
      <c r="M8" s="5"/>
      <c r="N8" s="5"/>
      <c r="O8" s="24"/>
    </row>
    <row r="9" customFormat="false" ht="21.75" hidden="false" customHeight="true" outlineLevel="0" collapsed="false">
      <c r="A9" s="17"/>
      <c r="B9" s="11"/>
      <c r="C9" s="12"/>
      <c r="D9" s="18"/>
      <c r="E9" s="18"/>
      <c r="F9" s="18"/>
      <c r="G9" s="19" t="str">
        <f aca="false">IFERROR(F9/D9,"")</f>
        <v/>
      </c>
      <c r="H9" s="20" t="str">
        <f aca="false">IFERROR(C9/F9,"")</f>
        <v/>
      </c>
      <c r="I9" s="20" t="str">
        <f aca="false">IFERROR(C9/D9*1000,"")</f>
        <v/>
      </c>
      <c r="J9" s="11"/>
      <c r="K9" s="20" t="str">
        <f aca="false">IFERROR(C9/J9,"")</f>
        <v/>
      </c>
      <c r="L9" s="19" t="str">
        <f aca="false">IFERROR(J9/F9,"")</f>
        <v/>
      </c>
      <c r="M9" s="11"/>
      <c r="N9" s="11"/>
      <c r="O9" s="21"/>
    </row>
    <row r="10" customFormat="false" ht="21.75" hidden="false" customHeight="true" outlineLevel="0" collapsed="false">
      <c r="A10" s="22"/>
      <c r="B10" s="5"/>
      <c r="C10" s="7"/>
      <c r="D10" s="23"/>
      <c r="E10" s="23"/>
      <c r="F10" s="23"/>
      <c r="G10" s="19" t="str">
        <f aca="false">IFERROR(F10/D10,"")</f>
        <v/>
      </c>
      <c r="H10" s="20" t="str">
        <f aca="false">IFERROR(C10/F10,"")</f>
        <v/>
      </c>
      <c r="I10" s="20" t="str">
        <f aca="false">IFERROR(C10/D10*1000,"")</f>
        <v/>
      </c>
      <c r="J10" s="5"/>
      <c r="K10" s="20" t="str">
        <f aca="false">IFERROR(C10/J10,"")</f>
        <v/>
      </c>
      <c r="L10" s="19" t="str">
        <f aca="false">IFERROR(J10/F10,"")</f>
        <v/>
      </c>
      <c r="M10" s="5"/>
      <c r="N10" s="5"/>
      <c r="O10" s="24"/>
    </row>
    <row r="11" customFormat="false" ht="21.75" hidden="false" customHeight="true" outlineLevel="0" collapsed="false">
      <c r="A11" s="17"/>
      <c r="B11" s="11"/>
      <c r="C11" s="12"/>
      <c r="D11" s="18"/>
      <c r="E11" s="18"/>
      <c r="F11" s="18"/>
      <c r="G11" s="19" t="str">
        <f aca="false">IFERROR(F11/D11,"")</f>
        <v/>
      </c>
      <c r="H11" s="20" t="str">
        <f aca="false">IFERROR(C11/F11,"")</f>
        <v/>
      </c>
      <c r="I11" s="20" t="str">
        <f aca="false">IFERROR(C11/D11*1000,"")</f>
        <v/>
      </c>
      <c r="J11" s="11"/>
      <c r="K11" s="20" t="str">
        <f aca="false">IFERROR(C11/J11,"")</f>
        <v/>
      </c>
      <c r="L11" s="19" t="str">
        <f aca="false">IFERROR(J11/F11,"")</f>
        <v/>
      </c>
      <c r="M11" s="11"/>
      <c r="N11" s="11"/>
      <c r="O11" s="21"/>
    </row>
    <row r="12" customFormat="false" ht="21.75" hidden="false" customHeight="true" outlineLevel="0" collapsed="false">
      <c r="A12" s="22"/>
      <c r="B12" s="5"/>
      <c r="C12" s="7"/>
      <c r="D12" s="23"/>
      <c r="E12" s="23"/>
      <c r="F12" s="23"/>
      <c r="G12" s="19" t="str">
        <f aca="false">IFERROR(F12/D12,"")</f>
        <v/>
      </c>
      <c r="H12" s="20" t="str">
        <f aca="false">IFERROR(C12/F12,"")</f>
        <v/>
      </c>
      <c r="I12" s="20" t="str">
        <f aca="false">IFERROR(C12/D12*1000,"")</f>
        <v/>
      </c>
      <c r="J12" s="5"/>
      <c r="K12" s="20" t="str">
        <f aca="false">IFERROR(C12/J12,"")</f>
        <v/>
      </c>
      <c r="L12" s="19" t="str">
        <f aca="false">IFERROR(J12/F12,"")</f>
        <v/>
      </c>
      <c r="M12" s="5"/>
      <c r="N12" s="5"/>
      <c r="O12" s="24"/>
    </row>
    <row r="13" customFormat="false" ht="21.75" hidden="false" customHeight="true" outlineLevel="0" collapsed="false">
      <c r="A13" s="17"/>
      <c r="B13" s="11"/>
      <c r="C13" s="12"/>
      <c r="D13" s="18"/>
      <c r="E13" s="18"/>
      <c r="F13" s="18"/>
      <c r="G13" s="19" t="str">
        <f aca="false">IFERROR(F13/D13,"")</f>
        <v/>
      </c>
      <c r="H13" s="20" t="str">
        <f aca="false">IFERROR(C13/F13,"")</f>
        <v/>
      </c>
      <c r="I13" s="20" t="str">
        <f aca="false">IFERROR(C13/D13*1000,"")</f>
        <v/>
      </c>
      <c r="J13" s="11"/>
      <c r="K13" s="20" t="str">
        <f aca="false">IFERROR(C13/J13,"")</f>
        <v/>
      </c>
      <c r="L13" s="19" t="str">
        <f aca="false">IFERROR(J13/F13,"")</f>
        <v/>
      </c>
      <c r="M13" s="11"/>
      <c r="N13" s="11"/>
      <c r="O13" s="21"/>
    </row>
    <row r="14" customFormat="false" ht="21.75" hidden="false" customHeight="true" outlineLevel="0" collapsed="false">
      <c r="A14" s="22"/>
      <c r="B14" s="5"/>
      <c r="C14" s="7"/>
      <c r="D14" s="23"/>
      <c r="E14" s="23"/>
      <c r="F14" s="23"/>
      <c r="G14" s="19" t="str">
        <f aca="false">IFERROR(F14/D14,"")</f>
        <v/>
      </c>
      <c r="H14" s="20" t="str">
        <f aca="false">IFERROR(C14/F14,"")</f>
        <v/>
      </c>
      <c r="I14" s="20" t="str">
        <f aca="false">IFERROR(C14/D14*1000,"")</f>
        <v/>
      </c>
      <c r="J14" s="5"/>
      <c r="K14" s="20" t="str">
        <f aca="false">IFERROR(C14/J14,"")</f>
        <v/>
      </c>
      <c r="L14" s="19" t="str">
        <f aca="false">IFERROR(J14/F14,"")</f>
        <v/>
      </c>
      <c r="M14" s="5"/>
      <c r="N14" s="5"/>
      <c r="O14" s="24"/>
    </row>
    <row r="15" customFormat="false" ht="21.75" hidden="false" customHeight="true" outlineLevel="0" collapsed="false">
      <c r="A15" s="17"/>
      <c r="B15" s="11"/>
      <c r="C15" s="12"/>
      <c r="D15" s="18"/>
      <c r="E15" s="18"/>
      <c r="F15" s="18"/>
      <c r="G15" s="19" t="str">
        <f aca="false">IFERROR(F15/D15,"")</f>
        <v/>
      </c>
      <c r="H15" s="20" t="str">
        <f aca="false">IFERROR(C15/F15,"")</f>
        <v/>
      </c>
      <c r="I15" s="20" t="str">
        <f aca="false">IFERROR(C15/D15*1000,"")</f>
        <v/>
      </c>
      <c r="J15" s="11"/>
      <c r="K15" s="20" t="str">
        <f aca="false">IFERROR(C15/J15,"")</f>
        <v/>
      </c>
      <c r="L15" s="19" t="str">
        <f aca="false">IFERROR(J15/F15,"")</f>
        <v/>
      </c>
      <c r="M15" s="11"/>
      <c r="N15" s="11"/>
      <c r="O15" s="21"/>
    </row>
    <row r="16" customFormat="false" ht="21.75" hidden="false" customHeight="true" outlineLevel="0" collapsed="false">
      <c r="A16" s="22"/>
      <c r="B16" s="5"/>
      <c r="C16" s="7"/>
      <c r="D16" s="23"/>
      <c r="E16" s="23"/>
      <c r="F16" s="23"/>
      <c r="G16" s="19" t="str">
        <f aca="false">IFERROR(F16/D16,"")</f>
        <v/>
      </c>
      <c r="H16" s="20" t="str">
        <f aca="false">IFERROR(C16/F16,"")</f>
        <v/>
      </c>
      <c r="I16" s="20" t="str">
        <f aca="false">IFERROR(C16/D16*1000,"")</f>
        <v/>
      </c>
      <c r="J16" s="5"/>
      <c r="K16" s="20" t="str">
        <f aca="false">IFERROR(C16/J16,"")</f>
        <v/>
      </c>
      <c r="L16" s="19" t="str">
        <f aca="false">IFERROR(J16/F16,"")</f>
        <v/>
      </c>
      <c r="M16" s="5"/>
      <c r="N16" s="5"/>
      <c r="O16" s="24"/>
    </row>
    <row r="17" customFormat="false" ht="21.75" hidden="false" customHeight="true" outlineLevel="0" collapsed="false">
      <c r="A17" s="17"/>
      <c r="B17" s="11"/>
      <c r="C17" s="12"/>
      <c r="D17" s="18"/>
      <c r="E17" s="18"/>
      <c r="F17" s="18"/>
      <c r="G17" s="19" t="str">
        <f aca="false">IFERROR(F17/D17,"")</f>
        <v/>
      </c>
      <c r="H17" s="20" t="str">
        <f aca="false">IFERROR(C17/F17,"")</f>
        <v/>
      </c>
      <c r="I17" s="20" t="str">
        <f aca="false">IFERROR(C17/D17*1000,"")</f>
        <v/>
      </c>
      <c r="J17" s="11"/>
      <c r="K17" s="20" t="str">
        <f aca="false">IFERROR(C17/J17,"")</f>
        <v/>
      </c>
      <c r="L17" s="19" t="str">
        <f aca="false">IFERROR(J17/F17,"")</f>
        <v/>
      </c>
      <c r="M17" s="11"/>
      <c r="N17" s="11"/>
      <c r="O17" s="21"/>
    </row>
    <row r="18" customFormat="false" ht="21.75" hidden="false" customHeight="true" outlineLevel="0" collapsed="false">
      <c r="A18" s="22"/>
      <c r="B18" s="5"/>
      <c r="C18" s="7"/>
      <c r="D18" s="23"/>
      <c r="E18" s="23"/>
      <c r="F18" s="23"/>
      <c r="G18" s="19" t="str">
        <f aca="false">IFERROR(F18/D18,"")</f>
        <v/>
      </c>
      <c r="H18" s="20" t="str">
        <f aca="false">IFERROR(C18/F18,"")</f>
        <v/>
      </c>
      <c r="I18" s="20" t="str">
        <f aca="false">IFERROR(C18/D18*1000,"")</f>
        <v/>
      </c>
      <c r="J18" s="5"/>
      <c r="K18" s="20" t="str">
        <f aca="false">IFERROR(C18/J18,"")</f>
        <v/>
      </c>
      <c r="L18" s="19" t="str">
        <f aca="false">IFERROR(J18/F18,"")</f>
        <v/>
      </c>
      <c r="M18" s="5"/>
      <c r="N18" s="5"/>
      <c r="O18" s="24"/>
    </row>
    <row r="19" customFormat="false" ht="21.75" hidden="false" customHeight="true" outlineLevel="0" collapsed="false">
      <c r="A19" s="17"/>
      <c r="B19" s="11"/>
      <c r="C19" s="12"/>
      <c r="D19" s="18"/>
      <c r="E19" s="18"/>
      <c r="F19" s="18"/>
      <c r="G19" s="19" t="str">
        <f aca="false">IFERROR(F19/D19,"")</f>
        <v/>
      </c>
      <c r="H19" s="20" t="str">
        <f aca="false">IFERROR(C19/F19,"")</f>
        <v/>
      </c>
      <c r="I19" s="20" t="str">
        <f aca="false">IFERROR(C19/D19*1000,"")</f>
        <v/>
      </c>
      <c r="J19" s="11"/>
      <c r="K19" s="20" t="str">
        <f aca="false">IFERROR(C19/J19,"")</f>
        <v/>
      </c>
      <c r="L19" s="19" t="str">
        <f aca="false">IFERROR(J19/F19,"")</f>
        <v/>
      </c>
      <c r="M19" s="11"/>
      <c r="N19" s="11"/>
      <c r="O19" s="21"/>
    </row>
    <row r="20" customFormat="false" ht="21.75" hidden="false" customHeight="true" outlineLevel="0" collapsed="false">
      <c r="A20" s="22"/>
      <c r="B20" s="5"/>
      <c r="C20" s="7"/>
      <c r="D20" s="23"/>
      <c r="E20" s="23"/>
      <c r="F20" s="23"/>
      <c r="G20" s="19" t="str">
        <f aca="false">IFERROR(F20/D20,"")</f>
        <v/>
      </c>
      <c r="H20" s="20" t="str">
        <f aca="false">IFERROR(C20/F20,"")</f>
        <v/>
      </c>
      <c r="I20" s="20" t="str">
        <f aca="false">IFERROR(C20/D20*1000,"")</f>
        <v/>
      </c>
      <c r="J20" s="5"/>
      <c r="K20" s="20" t="str">
        <f aca="false">IFERROR(C20/J20,"")</f>
        <v/>
      </c>
      <c r="L20" s="19" t="str">
        <f aca="false">IFERROR(J20/F20,"")</f>
        <v/>
      </c>
      <c r="M20" s="5"/>
      <c r="N20" s="5"/>
      <c r="O20" s="24"/>
    </row>
    <row r="21" customFormat="false" ht="21.75" hidden="false" customHeight="true" outlineLevel="0" collapsed="false">
      <c r="A21" s="17"/>
      <c r="B21" s="11"/>
      <c r="C21" s="12"/>
      <c r="D21" s="18"/>
      <c r="E21" s="18"/>
      <c r="F21" s="18"/>
      <c r="G21" s="19" t="str">
        <f aca="false">IFERROR(F21/D21,"")</f>
        <v/>
      </c>
      <c r="H21" s="20" t="str">
        <f aca="false">IFERROR(C21/F21,"")</f>
        <v/>
      </c>
      <c r="I21" s="20" t="str">
        <f aca="false">IFERROR(C21/D21*1000,"")</f>
        <v/>
      </c>
      <c r="J21" s="11"/>
      <c r="K21" s="20" t="str">
        <f aca="false">IFERROR(C21/J21,"")</f>
        <v/>
      </c>
      <c r="L21" s="19" t="str">
        <f aca="false">IFERROR(J21/F21,"")</f>
        <v/>
      </c>
      <c r="M21" s="11"/>
      <c r="N21" s="11"/>
      <c r="O21" s="21"/>
    </row>
    <row r="22" customFormat="false" ht="21.75" hidden="false" customHeight="true" outlineLevel="0" collapsed="false">
      <c r="A22" s="22"/>
      <c r="B22" s="5"/>
      <c r="C22" s="7"/>
      <c r="D22" s="23"/>
      <c r="E22" s="23"/>
      <c r="F22" s="23"/>
      <c r="G22" s="19" t="str">
        <f aca="false">IFERROR(F22/D22,"")</f>
        <v/>
      </c>
      <c r="H22" s="20" t="str">
        <f aca="false">IFERROR(C22/F22,"")</f>
        <v/>
      </c>
      <c r="I22" s="20" t="str">
        <f aca="false">IFERROR(C22/D22*1000,"")</f>
        <v/>
      </c>
      <c r="J22" s="5"/>
      <c r="K22" s="20" t="str">
        <f aca="false">IFERROR(C22/J22,"")</f>
        <v/>
      </c>
      <c r="L22" s="19" t="str">
        <f aca="false">IFERROR(J22/F22,"")</f>
        <v/>
      </c>
      <c r="M22" s="5"/>
      <c r="N22" s="5"/>
      <c r="O22" s="24"/>
    </row>
    <row r="23" customFormat="false" ht="21.75" hidden="false" customHeight="true" outlineLevel="0" collapsed="false">
      <c r="A23" s="17"/>
      <c r="B23" s="11"/>
      <c r="C23" s="12"/>
      <c r="D23" s="18"/>
      <c r="E23" s="18"/>
      <c r="F23" s="18"/>
      <c r="G23" s="19" t="str">
        <f aca="false">IFERROR(F23/D23,"")</f>
        <v/>
      </c>
      <c r="H23" s="20" t="str">
        <f aca="false">IFERROR(C23/F23,"")</f>
        <v/>
      </c>
      <c r="I23" s="20" t="str">
        <f aca="false">IFERROR(C23/D23*1000,"")</f>
        <v/>
      </c>
      <c r="J23" s="11"/>
      <c r="K23" s="20" t="str">
        <f aca="false">IFERROR(C23/J23,"")</f>
        <v/>
      </c>
      <c r="L23" s="19" t="str">
        <f aca="false">IFERROR(J23/F23,"")</f>
        <v/>
      </c>
      <c r="M23" s="11"/>
      <c r="N23" s="11"/>
      <c r="O23" s="21"/>
    </row>
    <row r="24" customFormat="false" ht="21.75" hidden="false" customHeight="true" outlineLevel="0" collapsed="false">
      <c r="A24" s="22"/>
      <c r="B24" s="5"/>
      <c r="C24" s="7"/>
      <c r="D24" s="23"/>
      <c r="E24" s="23"/>
      <c r="F24" s="23"/>
      <c r="G24" s="19" t="str">
        <f aca="false">IFERROR(F24/D24,"")</f>
        <v/>
      </c>
      <c r="H24" s="20" t="str">
        <f aca="false">IFERROR(C24/F24,"")</f>
        <v/>
      </c>
      <c r="I24" s="20" t="str">
        <f aca="false">IFERROR(C24/D24*1000,"")</f>
        <v/>
      </c>
      <c r="J24" s="5"/>
      <c r="K24" s="20" t="str">
        <f aca="false">IFERROR(C24/J24,"")</f>
        <v/>
      </c>
      <c r="L24" s="19" t="str">
        <f aca="false">IFERROR(J24/F24,"")</f>
        <v/>
      </c>
      <c r="M24" s="5"/>
      <c r="N24" s="5"/>
      <c r="O24" s="24"/>
    </row>
    <row r="25" customFormat="false" ht="21.75" hidden="false" customHeight="true" outlineLevel="0" collapsed="false">
      <c r="A25" s="17"/>
      <c r="B25" s="11"/>
      <c r="C25" s="12"/>
      <c r="D25" s="18"/>
      <c r="E25" s="18"/>
      <c r="F25" s="18"/>
      <c r="G25" s="19" t="str">
        <f aca="false">IFERROR(F25/D25,"")</f>
        <v/>
      </c>
      <c r="H25" s="20" t="str">
        <f aca="false">IFERROR(C25/F25,"")</f>
        <v/>
      </c>
      <c r="I25" s="20" t="str">
        <f aca="false">IFERROR(C25/D25*1000,"")</f>
        <v/>
      </c>
      <c r="J25" s="11"/>
      <c r="K25" s="20" t="str">
        <f aca="false">IFERROR(C25/J25,"")</f>
        <v/>
      </c>
      <c r="L25" s="19" t="str">
        <f aca="false">IFERROR(J25/F25,"")</f>
        <v/>
      </c>
      <c r="M25" s="11"/>
      <c r="N25" s="11"/>
      <c r="O25" s="21"/>
    </row>
    <row r="26" customFormat="false" ht="21.75" hidden="false" customHeight="true" outlineLevel="0" collapsed="false">
      <c r="A26" s="22"/>
      <c r="B26" s="5"/>
      <c r="C26" s="7"/>
      <c r="D26" s="23"/>
      <c r="E26" s="23"/>
      <c r="F26" s="23"/>
      <c r="G26" s="19" t="str">
        <f aca="false">IFERROR(F26/D26,"")</f>
        <v/>
      </c>
      <c r="H26" s="20" t="str">
        <f aca="false">IFERROR(C26/F26,"")</f>
        <v/>
      </c>
      <c r="I26" s="20" t="str">
        <f aca="false">IFERROR(C26/D26*1000,"")</f>
        <v/>
      </c>
      <c r="J26" s="5"/>
      <c r="K26" s="20" t="str">
        <f aca="false">IFERROR(C26/J26,"")</f>
        <v/>
      </c>
      <c r="L26" s="19" t="str">
        <f aca="false">IFERROR(J26/F26,"")</f>
        <v/>
      </c>
      <c r="M26" s="5"/>
      <c r="N26" s="5"/>
      <c r="O26" s="24"/>
    </row>
    <row r="27" customFormat="false" ht="21.75" hidden="false" customHeight="true" outlineLevel="0" collapsed="false">
      <c r="A27" s="17"/>
      <c r="B27" s="11"/>
      <c r="C27" s="12"/>
      <c r="D27" s="18"/>
      <c r="E27" s="18"/>
      <c r="F27" s="18"/>
      <c r="G27" s="19" t="str">
        <f aca="false">IFERROR(F27/D27,"")</f>
        <v/>
      </c>
      <c r="H27" s="20" t="str">
        <f aca="false">IFERROR(C27/F27,"")</f>
        <v/>
      </c>
      <c r="I27" s="20" t="str">
        <f aca="false">IFERROR(C27/D27*1000,"")</f>
        <v/>
      </c>
      <c r="J27" s="11"/>
      <c r="K27" s="20" t="str">
        <f aca="false">IFERROR(C27/J27,"")</f>
        <v/>
      </c>
      <c r="L27" s="19" t="str">
        <f aca="false">IFERROR(J27/F27,"")</f>
        <v/>
      </c>
      <c r="M27" s="11"/>
      <c r="N27" s="11"/>
      <c r="O27" s="21"/>
    </row>
    <row r="28" customFormat="false" ht="21.75" hidden="false" customHeight="true" outlineLevel="0" collapsed="false">
      <c r="A28" s="22"/>
      <c r="B28" s="5"/>
      <c r="C28" s="7"/>
      <c r="D28" s="23"/>
      <c r="E28" s="23"/>
      <c r="F28" s="23"/>
      <c r="G28" s="19" t="str">
        <f aca="false">IFERROR(F28/D28,"")</f>
        <v/>
      </c>
      <c r="H28" s="20" t="str">
        <f aca="false">IFERROR(C28/F28,"")</f>
        <v/>
      </c>
      <c r="I28" s="20" t="str">
        <f aca="false">IFERROR(C28/D28*1000,"")</f>
        <v/>
      </c>
      <c r="J28" s="5"/>
      <c r="K28" s="20" t="str">
        <f aca="false">IFERROR(C28/J28,"")</f>
        <v/>
      </c>
      <c r="L28" s="19" t="str">
        <f aca="false">IFERROR(J28/F28,"")</f>
        <v/>
      </c>
      <c r="M28" s="5"/>
      <c r="N28" s="5"/>
      <c r="O28" s="24"/>
    </row>
    <row r="29" customFormat="false" ht="21.75" hidden="false" customHeight="true" outlineLevel="0" collapsed="false">
      <c r="A29" s="17"/>
      <c r="B29" s="11"/>
      <c r="C29" s="12"/>
      <c r="D29" s="18"/>
      <c r="E29" s="18"/>
      <c r="F29" s="18"/>
      <c r="G29" s="19" t="str">
        <f aca="false">IFERROR(F29/D29,"")</f>
        <v/>
      </c>
      <c r="H29" s="20" t="str">
        <f aca="false">IFERROR(C29/F29,"")</f>
        <v/>
      </c>
      <c r="I29" s="20" t="str">
        <f aca="false">IFERROR(C29/D29*1000,"")</f>
        <v/>
      </c>
      <c r="J29" s="11"/>
      <c r="K29" s="20" t="str">
        <f aca="false">IFERROR(C29/J29,"")</f>
        <v/>
      </c>
      <c r="L29" s="19" t="str">
        <f aca="false">IFERROR(J29/F29,"")</f>
        <v/>
      </c>
      <c r="M29" s="11"/>
      <c r="N29" s="11"/>
      <c r="O29" s="21"/>
    </row>
    <row r="30" customFormat="false" ht="21.75" hidden="false" customHeight="true" outlineLevel="0" collapsed="false">
      <c r="A30" s="22"/>
      <c r="B30" s="5"/>
      <c r="C30" s="7"/>
      <c r="D30" s="23"/>
      <c r="E30" s="23"/>
      <c r="F30" s="23"/>
      <c r="G30" s="19" t="str">
        <f aca="false">IFERROR(F30/D30,"")</f>
        <v/>
      </c>
      <c r="H30" s="20" t="str">
        <f aca="false">IFERROR(C30/F30,"")</f>
        <v/>
      </c>
      <c r="I30" s="20" t="str">
        <f aca="false">IFERROR(C30/D30*1000,"")</f>
        <v/>
      </c>
      <c r="J30" s="5"/>
      <c r="K30" s="20" t="str">
        <f aca="false">IFERROR(C30/J30,"")</f>
        <v/>
      </c>
      <c r="L30" s="19" t="str">
        <f aca="false">IFERROR(J30/F30,"")</f>
        <v/>
      </c>
      <c r="M30" s="5"/>
      <c r="N30" s="5"/>
      <c r="O30" s="24"/>
    </row>
    <row r="31" customFormat="false" ht="21.75" hidden="false" customHeight="true" outlineLevel="0" collapsed="false">
      <c r="A31" s="17"/>
      <c r="B31" s="11"/>
      <c r="C31" s="12"/>
      <c r="D31" s="18"/>
      <c r="E31" s="18"/>
      <c r="F31" s="18"/>
      <c r="G31" s="19" t="str">
        <f aca="false">IFERROR(F31/D31,"")</f>
        <v/>
      </c>
      <c r="H31" s="20" t="str">
        <f aca="false">IFERROR(C31/F31,"")</f>
        <v/>
      </c>
      <c r="I31" s="20" t="str">
        <f aca="false">IFERROR(C31/D31*1000,"")</f>
        <v/>
      </c>
      <c r="J31" s="11"/>
      <c r="K31" s="20" t="str">
        <f aca="false">IFERROR(C31/J31,"")</f>
        <v/>
      </c>
      <c r="L31" s="19" t="str">
        <f aca="false">IFERROR(J31/F31,"")</f>
        <v/>
      </c>
      <c r="M31" s="11"/>
      <c r="N31" s="11"/>
      <c r="O31" s="21"/>
    </row>
    <row r="32" customFormat="false" ht="21.75" hidden="false" customHeight="true" outlineLevel="0" collapsed="false">
      <c r="A32" s="22"/>
      <c r="B32" s="5"/>
      <c r="C32" s="7"/>
      <c r="D32" s="23"/>
      <c r="E32" s="23"/>
      <c r="F32" s="23"/>
      <c r="G32" s="19" t="str">
        <f aca="false">IFERROR(F32/D32,"")</f>
        <v/>
      </c>
      <c r="H32" s="20" t="str">
        <f aca="false">IFERROR(C32/F32,"")</f>
        <v/>
      </c>
      <c r="I32" s="20" t="str">
        <f aca="false">IFERROR(C32/D32*1000,"")</f>
        <v/>
      </c>
      <c r="J32" s="5"/>
      <c r="K32" s="20" t="str">
        <f aca="false">IFERROR(C32/J32,"")</f>
        <v/>
      </c>
      <c r="L32" s="19" t="str">
        <f aca="false">IFERROR(J32/F32,"")</f>
        <v/>
      </c>
      <c r="M32" s="5"/>
      <c r="N32" s="5"/>
      <c r="O32" s="24"/>
    </row>
    <row r="33" customFormat="false" ht="21.75" hidden="false" customHeight="true" outlineLevel="0" collapsed="false">
      <c r="A33" s="17"/>
      <c r="B33" s="11"/>
      <c r="C33" s="12"/>
      <c r="D33" s="18"/>
      <c r="E33" s="18"/>
      <c r="F33" s="18"/>
      <c r="G33" s="19" t="str">
        <f aca="false">IFERROR(F33/D33,"")</f>
        <v/>
      </c>
      <c r="H33" s="20" t="str">
        <f aca="false">IFERROR(C33/F33,"")</f>
        <v/>
      </c>
      <c r="I33" s="20" t="str">
        <f aca="false">IFERROR(C33/D33*1000,"")</f>
        <v/>
      </c>
      <c r="J33" s="11"/>
      <c r="K33" s="20" t="str">
        <f aca="false">IFERROR(C33/J33,"")</f>
        <v/>
      </c>
      <c r="L33" s="19" t="str">
        <f aca="false">IFERROR(J33/F33,"")</f>
        <v/>
      </c>
      <c r="M33" s="11"/>
      <c r="N33" s="11"/>
      <c r="O33" s="21"/>
    </row>
    <row r="34" customFormat="false" ht="21.75" hidden="false" customHeight="true" outlineLevel="0" collapsed="false">
      <c r="A34" s="22"/>
      <c r="B34" s="5"/>
      <c r="C34" s="7"/>
      <c r="D34" s="23"/>
      <c r="E34" s="23"/>
      <c r="F34" s="23"/>
      <c r="G34" s="19" t="str">
        <f aca="false">IFERROR(F34/D34,"")</f>
        <v/>
      </c>
      <c r="H34" s="20" t="str">
        <f aca="false">IFERROR(C34/F34,"")</f>
        <v/>
      </c>
      <c r="I34" s="20" t="str">
        <f aca="false">IFERROR(C34/D34*1000,"")</f>
        <v/>
      </c>
      <c r="J34" s="5"/>
      <c r="K34" s="20" t="str">
        <f aca="false">IFERROR(C34/J34,"")</f>
        <v/>
      </c>
      <c r="L34" s="19" t="str">
        <f aca="false">IFERROR(J34/F34,"")</f>
        <v/>
      </c>
      <c r="M34" s="5"/>
      <c r="N34" s="5"/>
      <c r="O34" s="24"/>
    </row>
    <row r="35" customFormat="false" ht="21.75" hidden="false" customHeight="true" outlineLevel="0" collapsed="false">
      <c r="A35" s="17"/>
      <c r="B35" s="11"/>
      <c r="C35" s="12"/>
      <c r="D35" s="18"/>
      <c r="E35" s="18"/>
      <c r="F35" s="18"/>
      <c r="G35" s="19" t="str">
        <f aca="false">IFERROR(F35/D35,"")</f>
        <v/>
      </c>
      <c r="H35" s="20" t="str">
        <f aca="false">IFERROR(C35/F35,"")</f>
        <v/>
      </c>
      <c r="I35" s="20" t="str">
        <f aca="false">IFERROR(C35/D35*1000,"")</f>
        <v/>
      </c>
      <c r="J35" s="11"/>
      <c r="K35" s="20" t="str">
        <f aca="false">IFERROR(C35/J35,"")</f>
        <v/>
      </c>
      <c r="L35" s="19" t="str">
        <f aca="false">IFERROR(J35/F35,"")</f>
        <v/>
      </c>
      <c r="M35" s="11"/>
      <c r="N35" s="11"/>
      <c r="O35" s="21"/>
    </row>
    <row r="36" customFormat="false" ht="21.75" hidden="false" customHeight="true" outlineLevel="0" collapsed="false">
      <c r="A36" s="22"/>
      <c r="B36" s="5"/>
      <c r="C36" s="7"/>
      <c r="D36" s="23"/>
      <c r="E36" s="23"/>
      <c r="F36" s="23"/>
      <c r="G36" s="19" t="str">
        <f aca="false">IFERROR(F36/D36,"")</f>
        <v/>
      </c>
      <c r="H36" s="20" t="str">
        <f aca="false">IFERROR(C36/F36,"")</f>
        <v/>
      </c>
      <c r="I36" s="20" t="str">
        <f aca="false">IFERROR(C36/D36*1000,"")</f>
        <v/>
      </c>
      <c r="J36" s="5"/>
      <c r="K36" s="20" t="str">
        <f aca="false">IFERROR(C36/J36,"")</f>
        <v/>
      </c>
      <c r="L36" s="19" t="str">
        <f aca="false">IFERROR(J36/F36,"")</f>
        <v/>
      </c>
      <c r="M36" s="5"/>
      <c r="N36" s="5"/>
      <c r="O36" s="24"/>
    </row>
    <row r="37" customFormat="false" ht="21.75" hidden="false" customHeight="true" outlineLevel="0" collapsed="false">
      <c r="A37" s="17"/>
      <c r="B37" s="11"/>
      <c r="C37" s="12"/>
      <c r="D37" s="18"/>
      <c r="E37" s="18"/>
      <c r="F37" s="18"/>
      <c r="G37" s="19" t="str">
        <f aca="false">IFERROR(F37/D37,"")</f>
        <v/>
      </c>
      <c r="H37" s="20" t="str">
        <f aca="false">IFERROR(C37/F37,"")</f>
        <v/>
      </c>
      <c r="I37" s="20" t="str">
        <f aca="false">IFERROR(C37/D37*1000,"")</f>
        <v/>
      </c>
      <c r="J37" s="11"/>
      <c r="K37" s="20" t="str">
        <f aca="false">IFERROR(C37/J37,"")</f>
        <v/>
      </c>
      <c r="L37" s="19" t="str">
        <f aca="false">IFERROR(J37/F37,"")</f>
        <v/>
      </c>
      <c r="M37" s="11"/>
      <c r="N37" s="11"/>
      <c r="O37" s="21"/>
    </row>
    <row r="38" customFormat="false" ht="21.75" hidden="false" customHeight="true" outlineLevel="0" collapsed="false">
      <c r="A38" s="22"/>
      <c r="B38" s="5"/>
      <c r="C38" s="7"/>
      <c r="D38" s="23"/>
      <c r="E38" s="23"/>
      <c r="F38" s="23"/>
      <c r="G38" s="19" t="str">
        <f aca="false">IFERROR(F38/D38,"")</f>
        <v/>
      </c>
      <c r="H38" s="20" t="str">
        <f aca="false">IFERROR(C38/F38,"")</f>
        <v/>
      </c>
      <c r="I38" s="20" t="str">
        <f aca="false">IFERROR(C38/D38*1000,"")</f>
        <v/>
      </c>
      <c r="J38" s="5"/>
      <c r="K38" s="20" t="str">
        <f aca="false">IFERROR(C38/J38,"")</f>
        <v/>
      </c>
      <c r="L38" s="19" t="str">
        <f aca="false">IFERROR(J38/F38,"")</f>
        <v/>
      </c>
      <c r="M38" s="5"/>
      <c r="N38" s="5"/>
      <c r="O38" s="24"/>
    </row>
    <row r="39" customFormat="false" ht="21.75" hidden="false" customHeight="true" outlineLevel="0" collapsed="false">
      <c r="A39" s="17"/>
      <c r="B39" s="11"/>
      <c r="C39" s="12"/>
      <c r="D39" s="18"/>
      <c r="E39" s="18"/>
      <c r="F39" s="18"/>
      <c r="G39" s="19" t="str">
        <f aca="false">IFERROR(F39/D39,"")</f>
        <v/>
      </c>
      <c r="H39" s="20" t="str">
        <f aca="false">IFERROR(C39/F39,"")</f>
        <v/>
      </c>
      <c r="I39" s="20" t="str">
        <f aca="false">IFERROR(C39/D39*1000,"")</f>
        <v/>
      </c>
      <c r="J39" s="11"/>
      <c r="K39" s="20" t="str">
        <f aca="false">IFERROR(C39/J39,"")</f>
        <v/>
      </c>
      <c r="L39" s="19" t="str">
        <f aca="false">IFERROR(J39/F39,"")</f>
        <v/>
      </c>
      <c r="M39" s="11"/>
      <c r="N39" s="11"/>
      <c r="O39" s="21"/>
    </row>
    <row r="40" customFormat="false" ht="21.75" hidden="false" customHeight="true" outlineLevel="0" collapsed="false">
      <c r="A40" s="22"/>
      <c r="B40" s="5"/>
      <c r="C40" s="7"/>
      <c r="D40" s="23"/>
      <c r="E40" s="23"/>
      <c r="F40" s="23"/>
      <c r="G40" s="19" t="str">
        <f aca="false">IFERROR(F40/D40,"")</f>
        <v/>
      </c>
      <c r="H40" s="20" t="str">
        <f aca="false">IFERROR(C40/F40,"")</f>
        <v/>
      </c>
      <c r="I40" s="20" t="str">
        <f aca="false">IFERROR(C40/D40*1000,"")</f>
        <v/>
      </c>
      <c r="J40" s="5"/>
      <c r="K40" s="20" t="str">
        <f aca="false">IFERROR(C40/J40,"")</f>
        <v/>
      </c>
      <c r="L40" s="19" t="str">
        <f aca="false">IFERROR(J40/F40,"")</f>
        <v/>
      </c>
      <c r="M40" s="5"/>
      <c r="N40" s="5"/>
      <c r="O40" s="24"/>
    </row>
    <row r="41" customFormat="false" ht="21.75" hidden="false" customHeight="true" outlineLevel="0" collapsed="false">
      <c r="A41" s="17"/>
      <c r="B41" s="11"/>
      <c r="C41" s="12"/>
      <c r="D41" s="18"/>
      <c r="E41" s="18"/>
      <c r="F41" s="18"/>
      <c r="G41" s="19" t="str">
        <f aca="false">IFERROR(F41/D41,"")</f>
        <v/>
      </c>
      <c r="H41" s="20" t="str">
        <f aca="false">IFERROR(C41/F41,"")</f>
        <v/>
      </c>
      <c r="I41" s="20" t="str">
        <f aca="false">IFERROR(C41/D41*1000,"")</f>
        <v/>
      </c>
      <c r="J41" s="11"/>
      <c r="K41" s="20" t="str">
        <f aca="false">IFERROR(C41/J41,"")</f>
        <v/>
      </c>
      <c r="L41" s="19" t="str">
        <f aca="false">IFERROR(J41/F41,"")</f>
        <v/>
      </c>
      <c r="M41" s="11"/>
      <c r="N41" s="11"/>
      <c r="O41" s="21"/>
    </row>
    <row r="42" customFormat="false" ht="21.75" hidden="false" customHeight="true" outlineLevel="0" collapsed="false">
      <c r="A42" s="22"/>
      <c r="B42" s="5"/>
      <c r="C42" s="7"/>
      <c r="D42" s="23"/>
      <c r="E42" s="23"/>
      <c r="F42" s="23"/>
      <c r="G42" s="19" t="str">
        <f aca="false">IFERROR(F42/D42,"")</f>
        <v/>
      </c>
      <c r="H42" s="20" t="str">
        <f aca="false">IFERROR(C42/F42,"")</f>
        <v/>
      </c>
      <c r="I42" s="20" t="str">
        <f aca="false">IFERROR(C42/D42*1000,"")</f>
        <v/>
      </c>
      <c r="J42" s="5"/>
      <c r="K42" s="20" t="str">
        <f aca="false">IFERROR(C42/J42,"")</f>
        <v/>
      </c>
      <c r="L42" s="19" t="str">
        <f aca="false">IFERROR(J42/F42,"")</f>
        <v/>
      </c>
      <c r="M42" s="5"/>
      <c r="N42" s="5"/>
      <c r="O42" s="24"/>
    </row>
    <row r="43" customFormat="false" ht="21.75" hidden="false" customHeight="true" outlineLevel="0" collapsed="false">
      <c r="A43" s="17"/>
      <c r="B43" s="11"/>
      <c r="C43" s="12"/>
      <c r="D43" s="18"/>
      <c r="E43" s="18"/>
      <c r="F43" s="18"/>
      <c r="G43" s="19" t="str">
        <f aca="false">IFERROR(F43/D43,"")</f>
        <v/>
      </c>
      <c r="H43" s="20" t="str">
        <f aca="false">IFERROR(C43/F43,"")</f>
        <v/>
      </c>
      <c r="I43" s="20" t="str">
        <f aca="false">IFERROR(C43/D43*1000,"")</f>
        <v/>
      </c>
      <c r="J43" s="11"/>
      <c r="K43" s="20" t="str">
        <f aca="false">IFERROR(C43/J43,"")</f>
        <v/>
      </c>
      <c r="L43" s="19" t="str">
        <f aca="false">IFERROR(J43/F43,"")</f>
        <v/>
      </c>
      <c r="M43" s="11"/>
      <c r="N43" s="11"/>
      <c r="O43" s="21"/>
    </row>
    <row r="44" customFormat="false" ht="21.75" hidden="false" customHeight="true" outlineLevel="0" collapsed="false">
      <c r="A44" s="22"/>
      <c r="B44" s="5"/>
      <c r="C44" s="7"/>
      <c r="D44" s="23"/>
      <c r="E44" s="23"/>
      <c r="F44" s="23"/>
      <c r="G44" s="19" t="str">
        <f aca="false">IFERROR(F44/D44,"")</f>
        <v/>
      </c>
      <c r="H44" s="20" t="str">
        <f aca="false">IFERROR(C44/F44,"")</f>
        <v/>
      </c>
      <c r="I44" s="20" t="str">
        <f aca="false">IFERROR(C44/D44*1000,"")</f>
        <v/>
      </c>
      <c r="J44" s="5"/>
      <c r="K44" s="20" t="str">
        <f aca="false">IFERROR(C44/J44,"")</f>
        <v/>
      </c>
      <c r="L44" s="19" t="str">
        <f aca="false">IFERROR(J44/F44,"")</f>
        <v/>
      </c>
      <c r="M44" s="5"/>
      <c r="N44" s="5"/>
      <c r="O44" s="24"/>
    </row>
    <row r="45" customFormat="false" ht="21.75" hidden="false" customHeight="true" outlineLevel="0" collapsed="false">
      <c r="A45" s="17"/>
      <c r="B45" s="11"/>
      <c r="C45" s="12"/>
      <c r="D45" s="18"/>
      <c r="E45" s="18"/>
      <c r="F45" s="18"/>
      <c r="G45" s="19" t="str">
        <f aca="false">IFERROR(F45/D45,"")</f>
        <v/>
      </c>
      <c r="H45" s="20" t="str">
        <f aca="false">IFERROR(C45/F45,"")</f>
        <v/>
      </c>
      <c r="I45" s="20" t="str">
        <f aca="false">IFERROR(C45/D45*1000,"")</f>
        <v/>
      </c>
      <c r="J45" s="11"/>
      <c r="K45" s="20" t="str">
        <f aca="false">IFERROR(C45/J45,"")</f>
        <v/>
      </c>
      <c r="L45" s="19" t="str">
        <f aca="false">IFERROR(J45/F45,"")</f>
        <v/>
      </c>
      <c r="M45" s="11"/>
      <c r="N45" s="11"/>
      <c r="O45" s="21"/>
    </row>
    <row r="46" customFormat="false" ht="21.75" hidden="false" customHeight="true" outlineLevel="0" collapsed="false">
      <c r="A46" s="22"/>
      <c r="B46" s="5"/>
      <c r="C46" s="7"/>
      <c r="D46" s="23"/>
      <c r="E46" s="23"/>
      <c r="F46" s="23"/>
      <c r="G46" s="19" t="str">
        <f aca="false">IFERROR(F46/D46,"")</f>
        <v/>
      </c>
      <c r="H46" s="20" t="str">
        <f aca="false">IFERROR(C46/F46,"")</f>
        <v/>
      </c>
      <c r="I46" s="20" t="str">
        <f aca="false">IFERROR(C46/D46*1000,"")</f>
        <v/>
      </c>
      <c r="J46" s="5"/>
      <c r="K46" s="20" t="str">
        <f aca="false">IFERROR(C46/J46,"")</f>
        <v/>
      </c>
      <c r="L46" s="19" t="str">
        <f aca="false">IFERROR(J46/F46,"")</f>
        <v/>
      </c>
      <c r="M46" s="5"/>
      <c r="N46" s="5"/>
      <c r="O46" s="24"/>
    </row>
    <row r="47" customFormat="false" ht="21.75" hidden="false" customHeight="true" outlineLevel="0" collapsed="false">
      <c r="A47" s="17"/>
      <c r="B47" s="11"/>
      <c r="C47" s="12"/>
      <c r="D47" s="18"/>
      <c r="E47" s="18"/>
      <c r="F47" s="18"/>
      <c r="G47" s="19" t="str">
        <f aca="false">IFERROR(F47/D47,"")</f>
        <v/>
      </c>
      <c r="H47" s="20" t="str">
        <f aca="false">IFERROR(C47/F47,"")</f>
        <v/>
      </c>
      <c r="I47" s="20" t="str">
        <f aca="false">IFERROR(C47/D47*1000,"")</f>
        <v/>
      </c>
      <c r="J47" s="11"/>
      <c r="K47" s="20" t="str">
        <f aca="false">IFERROR(C47/J47,"")</f>
        <v/>
      </c>
      <c r="L47" s="19" t="str">
        <f aca="false">IFERROR(J47/F47,"")</f>
        <v/>
      </c>
      <c r="M47" s="11"/>
      <c r="N47" s="11"/>
      <c r="O47" s="21"/>
    </row>
    <row r="48" customFormat="false" ht="21.75" hidden="false" customHeight="true" outlineLevel="0" collapsed="false">
      <c r="A48" s="22"/>
      <c r="B48" s="5"/>
      <c r="C48" s="7"/>
      <c r="D48" s="23"/>
      <c r="E48" s="23"/>
      <c r="F48" s="23"/>
      <c r="G48" s="19" t="str">
        <f aca="false">IFERROR(F48/D48,"")</f>
        <v/>
      </c>
      <c r="H48" s="20" t="str">
        <f aca="false">IFERROR(C48/F48,"")</f>
        <v/>
      </c>
      <c r="I48" s="20" t="str">
        <f aca="false">IFERROR(C48/D48*1000,"")</f>
        <v/>
      </c>
      <c r="J48" s="5"/>
      <c r="K48" s="20" t="str">
        <f aca="false">IFERROR(C48/J48,"")</f>
        <v/>
      </c>
      <c r="L48" s="19" t="str">
        <f aca="false">IFERROR(J48/F48,"")</f>
        <v/>
      </c>
      <c r="M48" s="5"/>
      <c r="N48" s="5"/>
      <c r="O48" s="24"/>
    </row>
    <row r="49" customFormat="false" ht="21.75" hidden="false" customHeight="true" outlineLevel="0" collapsed="false">
      <c r="A49" s="17"/>
      <c r="B49" s="11"/>
      <c r="C49" s="12"/>
      <c r="D49" s="18"/>
      <c r="E49" s="18"/>
      <c r="F49" s="18"/>
      <c r="G49" s="19" t="str">
        <f aca="false">IFERROR(F49/D49,"")</f>
        <v/>
      </c>
      <c r="H49" s="20" t="str">
        <f aca="false">IFERROR(C49/F49,"")</f>
        <v/>
      </c>
      <c r="I49" s="20" t="str">
        <f aca="false">IFERROR(C49/D49*1000,"")</f>
        <v/>
      </c>
      <c r="J49" s="11"/>
      <c r="K49" s="20" t="str">
        <f aca="false">IFERROR(C49/J49,"")</f>
        <v/>
      </c>
      <c r="L49" s="19" t="str">
        <f aca="false">IFERROR(J49/F49,"")</f>
        <v/>
      </c>
      <c r="M49" s="11"/>
      <c r="N49" s="11"/>
      <c r="O49" s="21"/>
    </row>
    <row r="50" customFormat="false" ht="21.75" hidden="false" customHeight="true" outlineLevel="0" collapsed="false">
      <c r="A50" s="22"/>
      <c r="B50" s="5"/>
      <c r="C50" s="7"/>
      <c r="D50" s="23"/>
      <c r="E50" s="23"/>
      <c r="F50" s="23"/>
      <c r="G50" s="19" t="str">
        <f aca="false">IFERROR(F50/D50,"")</f>
        <v/>
      </c>
      <c r="H50" s="20" t="str">
        <f aca="false">IFERROR(C50/F50,"")</f>
        <v/>
      </c>
      <c r="I50" s="20" t="str">
        <f aca="false">IFERROR(C50/D50*1000,"")</f>
        <v/>
      </c>
      <c r="J50" s="5"/>
      <c r="K50" s="20" t="str">
        <f aca="false">IFERROR(C50/J50,"")</f>
        <v/>
      </c>
      <c r="L50" s="19" t="str">
        <f aca="false">IFERROR(J50/F50,"")</f>
        <v/>
      </c>
      <c r="M50" s="5"/>
      <c r="N50" s="5"/>
      <c r="O50" s="24"/>
    </row>
    <row r="51" customFormat="false" ht="21.75" hidden="false" customHeight="true" outlineLevel="0" collapsed="false">
      <c r="A51" s="17"/>
      <c r="B51" s="11"/>
      <c r="C51" s="12"/>
      <c r="D51" s="18"/>
      <c r="E51" s="18"/>
      <c r="F51" s="18"/>
      <c r="G51" s="19" t="str">
        <f aca="false">IFERROR(F51/D51,"")</f>
        <v/>
      </c>
      <c r="H51" s="20" t="str">
        <f aca="false">IFERROR(C51/F51,"")</f>
        <v/>
      </c>
      <c r="I51" s="20" t="str">
        <f aca="false">IFERROR(C51/D51*1000,"")</f>
        <v/>
      </c>
      <c r="J51" s="11"/>
      <c r="K51" s="20" t="str">
        <f aca="false">IFERROR(C51/J51,"")</f>
        <v/>
      </c>
      <c r="L51" s="19" t="str">
        <f aca="false">IFERROR(J51/F51,"")</f>
        <v/>
      </c>
      <c r="M51" s="11"/>
      <c r="N51" s="11"/>
      <c r="O51" s="21"/>
    </row>
    <row r="52" customFormat="false" ht="21.75" hidden="false" customHeight="true" outlineLevel="0" collapsed="false">
      <c r="A52" s="22"/>
      <c r="B52" s="5"/>
      <c r="C52" s="7"/>
      <c r="D52" s="23"/>
      <c r="E52" s="23"/>
      <c r="F52" s="23"/>
      <c r="G52" s="19" t="str">
        <f aca="false">IFERROR(F52/D52,"")</f>
        <v/>
      </c>
      <c r="H52" s="20" t="str">
        <f aca="false">IFERROR(C52/F52,"")</f>
        <v/>
      </c>
      <c r="I52" s="20" t="str">
        <f aca="false">IFERROR(C52/D52*1000,"")</f>
        <v/>
      </c>
      <c r="J52" s="5"/>
      <c r="K52" s="20" t="str">
        <f aca="false">IFERROR(C52/J52,"")</f>
        <v/>
      </c>
      <c r="L52" s="19" t="str">
        <f aca="false">IFERROR(J52/F52,"")</f>
        <v/>
      </c>
      <c r="M52" s="5"/>
      <c r="N52" s="5"/>
      <c r="O52" s="24"/>
    </row>
    <row r="53" customFormat="false" ht="21.75" hidden="false" customHeight="true" outlineLevel="0" collapsed="false">
      <c r="A53" s="17"/>
      <c r="B53" s="11"/>
      <c r="C53" s="12"/>
      <c r="D53" s="18"/>
      <c r="E53" s="18"/>
      <c r="F53" s="18"/>
      <c r="G53" s="19" t="str">
        <f aca="false">IFERROR(F53/D53,"")</f>
        <v/>
      </c>
      <c r="H53" s="20" t="str">
        <f aca="false">IFERROR(C53/F53,"")</f>
        <v/>
      </c>
      <c r="I53" s="20" t="str">
        <f aca="false">IFERROR(C53/D53*1000,"")</f>
        <v/>
      </c>
      <c r="J53" s="11"/>
      <c r="K53" s="20" t="str">
        <f aca="false">IFERROR(C53/J53,"")</f>
        <v/>
      </c>
      <c r="L53" s="19" t="str">
        <f aca="false">IFERROR(J53/F53,"")</f>
        <v/>
      </c>
      <c r="M53" s="11"/>
      <c r="N53" s="11"/>
      <c r="O53" s="21"/>
    </row>
    <row r="54" customFormat="false" ht="21.75" hidden="false" customHeight="true" outlineLevel="0" collapsed="false">
      <c r="A54" s="22"/>
      <c r="B54" s="5"/>
      <c r="C54" s="7"/>
      <c r="D54" s="23"/>
      <c r="E54" s="23"/>
      <c r="F54" s="23"/>
      <c r="G54" s="19" t="str">
        <f aca="false">IFERROR(F54/D54,"")</f>
        <v/>
      </c>
      <c r="H54" s="20" t="str">
        <f aca="false">IFERROR(C54/F54,"")</f>
        <v/>
      </c>
      <c r="I54" s="20" t="str">
        <f aca="false">IFERROR(C54/D54*1000,"")</f>
        <v/>
      </c>
      <c r="J54" s="5"/>
      <c r="K54" s="20" t="str">
        <f aca="false">IFERROR(C54/J54,"")</f>
        <v/>
      </c>
      <c r="L54" s="19" t="str">
        <f aca="false">IFERROR(J54/F54,"")</f>
        <v/>
      </c>
      <c r="M54" s="5"/>
      <c r="N54" s="5"/>
      <c r="O54" s="24"/>
    </row>
    <row r="55" customFormat="false" ht="21.75" hidden="false" customHeight="true" outlineLevel="0" collapsed="false">
      <c r="A55" s="17"/>
      <c r="B55" s="11"/>
      <c r="C55" s="12"/>
      <c r="D55" s="18"/>
      <c r="E55" s="18"/>
      <c r="F55" s="18"/>
      <c r="G55" s="19" t="str">
        <f aca="false">IFERROR(F55/D55,"")</f>
        <v/>
      </c>
      <c r="H55" s="20" t="str">
        <f aca="false">IFERROR(C55/F55,"")</f>
        <v/>
      </c>
      <c r="I55" s="20" t="str">
        <f aca="false">IFERROR(C55/D55*1000,"")</f>
        <v/>
      </c>
      <c r="J55" s="11"/>
      <c r="K55" s="20" t="str">
        <f aca="false">IFERROR(C55/J55,"")</f>
        <v/>
      </c>
      <c r="L55" s="19" t="str">
        <f aca="false">IFERROR(J55/F55,"")</f>
        <v/>
      </c>
      <c r="M55" s="11"/>
      <c r="N55" s="11"/>
      <c r="O55" s="21"/>
    </row>
    <row r="56" customFormat="false" ht="21.75" hidden="false" customHeight="true" outlineLevel="0" collapsed="false">
      <c r="A56" s="22"/>
      <c r="B56" s="5"/>
      <c r="C56" s="7"/>
      <c r="D56" s="23"/>
      <c r="E56" s="23"/>
      <c r="F56" s="23"/>
      <c r="G56" s="19" t="str">
        <f aca="false">IFERROR(F56/D56,"")</f>
        <v/>
      </c>
      <c r="H56" s="20" t="str">
        <f aca="false">IFERROR(C56/F56,"")</f>
        <v/>
      </c>
      <c r="I56" s="20" t="str">
        <f aca="false">IFERROR(C56/D56*1000,"")</f>
        <v/>
      </c>
      <c r="J56" s="5"/>
      <c r="K56" s="20" t="str">
        <f aca="false">IFERROR(C56/J56,"")</f>
        <v/>
      </c>
      <c r="L56" s="19" t="str">
        <f aca="false">IFERROR(J56/F56,"")</f>
        <v/>
      </c>
      <c r="M56" s="5"/>
      <c r="N56" s="5"/>
      <c r="O56" s="24"/>
    </row>
    <row r="57" customFormat="false" ht="21.75" hidden="false" customHeight="true" outlineLevel="0" collapsed="false">
      <c r="A57" s="17"/>
      <c r="B57" s="11"/>
      <c r="C57" s="12"/>
      <c r="D57" s="18"/>
      <c r="E57" s="18"/>
      <c r="F57" s="18"/>
      <c r="G57" s="19" t="str">
        <f aca="false">IFERROR(F57/D57,"")</f>
        <v/>
      </c>
      <c r="H57" s="20" t="str">
        <f aca="false">IFERROR(C57/F57,"")</f>
        <v/>
      </c>
      <c r="I57" s="20" t="str">
        <f aca="false">IFERROR(C57/D57*1000,"")</f>
        <v/>
      </c>
      <c r="J57" s="11"/>
      <c r="K57" s="20" t="str">
        <f aca="false">IFERROR(C57/J57,"")</f>
        <v/>
      </c>
      <c r="L57" s="19" t="str">
        <f aca="false">IFERROR(J57/F57,"")</f>
        <v/>
      </c>
      <c r="M57" s="11"/>
      <c r="N57" s="11"/>
      <c r="O57" s="21"/>
    </row>
    <row r="58" customFormat="false" ht="21.75" hidden="false" customHeight="true" outlineLevel="0" collapsed="false">
      <c r="A58" s="22"/>
      <c r="B58" s="5"/>
      <c r="C58" s="7"/>
      <c r="D58" s="23"/>
      <c r="E58" s="23"/>
      <c r="F58" s="23"/>
      <c r="G58" s="19" t="str">
        <f aca="false">IFERROR(F58/D58,"")</f>
        <v/>
      </c>
      <c r="H58" s="20" t="str">
        <f aca="false">IFERROR(C58/F58,"")</f>
        <v/>
      </c>
      <c r="I58" s="20" t="str">
        <f aca="false">IFERROR(C58/D58*1000,"")</f>
        <v/>
      </c>
      <c r="J58" s="5"/>
      <c r="K58" s="20" t="str">
        <f aca="false">IFERROR(C58/J58,"")</f>
        <v/>
      </c>
      <c r="L58" s="19" t="str">
        <f aca="false">IFERROR(J58/F58,"")</f>
        <v/>
      </c>
      <c r="M58" s="5"/>
      <c r="N58" s="5"/>
      <c r="O58" s="24"/>
    </row>
    <row r="59" customFormat="false" ht="21.75" hidden="false" customHeight="true" outlineLevel="0" collapsed="false">
      <c r="A59" s="17"/>
      <c r="B59" s="11"/>
      <c r="C59" s="12"/>
      <c r="D59" s="18"/>
      <c r="E59" s="18"/>
      <c r="F59" s="18"/>
      <c r="G59" s="19" t="str">
        <f aca="false">IFERROR(F59/D59,"")</f>
        <v/>
      </c>
      <c r="H59" s="20" t="str">
        <f aca="false">IFERROR(C59/F59,"")</f>
        <v/>
      </c>
      <c r="I59" s="20" t="str">
        <f aca="false">IFERROR(C59/D59*1000,"")</f>
        <v/>
      </c>
      <c r="J59" s="11"/>
      <c r="K59" s="20" t="str">
        <f aca="false">IFERROR(C59/J59,"")</f>
        <v/>
      </c>
      <c r="L59" s="19" t="str">
        <f aca="false">IFERROR(J59/F59,"")</f>
        <v/>
      </c>
      <c r="M59" s="11"/>
      <c r="N59" s="11"/>
      <c r="O59" s="21"/>
    </row>
    <row r="60" customFormat="false" ht="21.75" hidden="false" customHeight="true" outlineLevel="0" collapsed="false">
      <c r="A60" s="22"/>
      <c r="B60" s="5"/>
      <c r="C60" s="7"/>
      <c r="D60" s="23"/>
      <c r="E60" s="23"/>
      <c r="F60" s="23"/>
      <c r="G60" s="19" t="str">
        <f aca="false">IFERROR(F60/D60,"")</f>
        <v/>
      </c>
      <c r="H60" s="20" t="str">
        <f aca="false">IFERROR(C60/F60,"")</f>
        <v/>
      </c>
      <c r="I60" s="20" t="str">
        <f aca="false">IFERROR(C60/D60*1000,"")</f>
        <v/>
      </c>
      <c r="J60" s="5"/>
      <c r="K60" s="20" t="str">
        <f aca="false">IFERROR(C60/J60,"")</f>
        <v/>
      </c>
      <c r="L60" s="19" t="str">
        <f aca="false">IFERROR(J60/F60,"")</f>
        <v/>
      </c>
      <c r="M60" s="5"/>
      <c r="N60" s="5"/>
      <c r="O60" s="24"/>
    </row>
    <row r="61" customFormat="false" ht="21.75" hidden="false" customHeight="true" outlineLevel="0" collapsed="false">
      <c r="A61" s="17"/>
      <c r="B61" s="11"/>
      <c r="C61" s="12"/>
      <c r="D61" s="18"/>
      <c r="E61" s="18"/>
      <c r="F61" s="18"/>
      <c r="G61" s="19" t="str">
        <f aca="false">IFERROR(F61/D61,"")</f>
        <v/>
      </c>
      <c r="H61" s="20" t="str">
        <f aca="false">IFERROR(C61/F61,"")</f>
        <v/>
      </c>
      <c r="I61" s="20" t="str">
        <f aca="false">IFERROR(C61/D61*1000,"")</f>
        <v/>
      </c>
      <c r="J61" s="11"/>
      <c r="K61" s="20" t="str">
        <f aca="false">IFERROR(C61/J61,"")</f>
        <v/>
      </c>
      <c r="L61" s="19" t="str">
        <f aca="false">IFERROR(J61/F61,"")</f>
        <v/>
      </c>
      <c r="M61" s="11"/>
      <c r="N61" s="11"/>
      <c r="O61" s="21"/>
    </row>
    <row r="62" customFormat="false" ht="21.75" hidden="false" customHeight="true" outlineLevel="0" collapsed="false">
      <c r="A62" s="22"/>
      <c r="B62" s="5"/>
      <c r="C62" s="7"/>
      <c r="D62" s="23"/>
      <c r="E62" s="23"/>
      <c r="F62" s="23"/>
      <c r="G62" s="19" t="str">
        <f aca="false">IFERROR(F62/D62,"")</f>
        <v/>
      </c>
      <c r="H62" s="20" t="str">
        <f aca="false">IFERROR(C62/F62,"")</f>
        <v/>
      </c>
      <c r="I62" s="20" t="str">
        <f aca="false">IFERROR(C62/D62*1000,"")</f>
        <v/>
      </c>
      <c r="J62" s="5"/>
      <c r="K62" s="20" t="str">
        <f aca="false">IFERROR(C62/J62,"")</f>
        <v/>
      </c>
      <c r="L62" s="19" t="str">
        <f aca="false">IFERROR(J62/F62,"")</f>
        <v/>
      </c>
      <c r="M62" s="5"/>
      <c r="N62" s="5"/>
      <c r="O62" s="24"/>
    </row>
    <row r="63" customFormat="false" ht="21.75" hidden="false" customHeight="true" outlineLevel="0" collapsed="false">
      <c r="A63" s="17"/>
      <c r="B63" s="11"/>
      <c r="C63" s="12"/>
      <c r="D63" s="18"/>
      <c r="E63" s="18"/>
      <c r="F63" s="18"/>
      <c r="G63" s="19" t="str">
        <f aca="false">IFERROR(F63/D63,"")</f>
        <v/>
      </c>
      <c r="H63" s="20" t="str">
        <f aca="false">IFERROR(C63/F63,"")</f>
        <v/>
      </c>
      <c r="I63" s="20" t="str">
        <f aca="false">IFERROR(C63/D63*1000,"")</f>
        <v/>
      </c>
      <c r="J63" s="11"/>
      <c r="K63" s="20" t="str">
        <f aca="false">IFERROR(C63/J63,"")</f>
        <v/>
      </c>
      <c r="L63" s="19" t="str">
        <f aca="false">IFERROR(J63/F63,"")</f>
        <v/>
      </c>
      <c r="M63" s="11"/>
      <c r="N63" s="11"/>
      <c r="O63" s="21"/>
    </row>
    <row r="64" customFormat="false" ht="21.75" hidden="false" customHeight="true" outlineLevel="0" collapsed="false">
      <c r="A64" s="22"/>
      <c r="B64" s="5"/>
      <c r="C64" s="7"/>
      <c r="D64" s="23"/>
      <c r="E64" s="23"/>
      <c r="F64" s="23"/>
      <c r="G64" s="19" t="str">
        <f aca="false">IFERROR(F64/D64,"")</f>
        <v/>
      </c>
      <c r="H64" s="20" t="str">
        <f aca="false">IFERROR(C64/F64,"")</f>
        <v/>
      </c>
      <c r="I64" s="20" t="str">
        <f aca="false">IFERROR(C64/D64*1000,"")</f>
        <v/>
      </c>
      <c r="J64" s="5"/>
      <c r="K64" s="20" t="str">
        <f aca="false">IFERROR(C64/J64,"")</f>
        <v/>
      </c>
      <c r="L64" s="19" t="str">
        <f aca="false">IFERROR(J64/F64,"")</f>
        <v/>
      </c>
      <c r="M64" s="5"/>
      <c r="N64" s="5"/>
      <c r="O64" s="24"/>
    </row>
    <row r="65" customFormat="false" ht="21.75" hidden="false" customHeight="true" outlineLevel="0" collapsed="false">
      <c r="A65" s="17"/>
      <c r="B65" s="11"/>
      <c r="C65" s="12"/>
      <c r="D65" s="18"/>
      <c r="E65" s="18"/>
      <c r="F65" s="18"/>
      <c r="G65" s="19" t="str">
        <f aca="false">IFERROR(F65/D65,"")</f>
        <v/>
      </c>
      <c r="H65" s="20" t="str">
        <f aca="false">IFERROR(C65/F65,"")</f>
        <v/>
      </c>
      <c r="I65" s="20" t="str">
        <f aca="false">IFERROR(C65/D65*1000,"")</f>
        <v/>
      </c>
      <c r="J65" s="11"/>
      <c r="K65" s="20" t="str">
        <f aca="false">IFERROR(C65/J65,"")</f>
        <v/>
      </c>
      <c r="L65" s="19" t="str">
        <f aca="false">IFERROR(J65/F65,"")</f>
        <v/>
      </c>
      <c r="M65" s="11"/>
      <c r="N65" s="11"/>
      <c r="O65" s="21"/>
    </row>
    <row r="66" customFormat="false" ht="21.75" hidden="false" customHeight="true" outlineLevel="0" collapsed="false">
      <c r="A66" s="22"/>
      <c r="B66" s="5"/>
      <c r="C66" s="7"/>
      <c r="D66" s="23"/>
      <c r="E66" s="23"/>
      <c r="F66" s="23"/>
      <c r="G66" s="19" t="str">
        <f aca="false">IFERROR(F66/D66,"")</f>
        <v/>
      </c>
      <c r="H66" s="20" t="str">
        <f aca="false">IFERROR(C66/F66,"")</f>
        <v/>
      </c>
      <c r="I66" s="20" t="str">
        <f aca="false">IFERROR(C66/D66*1000,"")</f>
        <v/>
      </c>
      <c r="J66" s="5"/>
      <c r="K66" s="20" t="str">
        <f aca="false">IFERROR(C66/J66,"")</f>
        <v/>
      </c>
      <c r="L66" s="19" t="str">
        <f aca="false">IFERROR(J66/F66,"")</f>
        <v/>
      </c>
      <c r="M66" s="5"/>
      <c r="N66" s="5"/>
      <c r="O66" s="24"/>
    </row>
    <row r="67" customFormat="false" ht="21.75" hidden="false" customHeight="true" outlineLevel="0" collapsed="false">
      <c r="A67" s="17"/>
      <c r="B67" s="11"/>
      <c r="C67" s="12"/>
      <c r="D67" s="18"/>
      <c r="E67" s="18"/>
      <c r="F67" s="18"/>
      <c r="G67" s="19" t="str">
        <f aca="false">IFERROR(F67/D67,"")</f>
        <v/>
      </c>
      <c r="H67" s="20" t="str">
        <f aca="false">IFERROR(C67/F67,"")</f>
        <v/>
      </c>
      <c r="I67" s="20" t="str">
        <f aca="false">IFERROR(C67/D67*1000,"")</f>
        <v/>
      </c>
      <c r="J67" s="11"/>
      <c r="K67" s="20" t="str">
        <f aca="false">IFERROR(C67/J67,"")</f>
        <v/>
      </c>
      <c r="L67" s="19" t="str">
        <f aca="false">IFERROR(J67/F67,"")</f>
        <v/>
      </c>
      <c r="M67" s="11"/>
      <c r="N67" s="11"/>
      <c r="O67" s="21"/>
    </row>
    <row r="68" customFormat="false" ht="21.75" hidden="false" customHeight="true" outlineLevel="0" collapsed="false">
      <c r="A68" s="22"/>
      <c r="B68" s="5"/>
      <c r="C68" s="7"/>
      <c r="D68" s="23"/>
      <c r="E68" s="23"/>
      <c r="F68" s="23"/>
      <c r="G68" s="19" t="str">
        <f aca="false">IFERROR(F68/D68,"")</f>
        <v/>
      </c>
      <c r="H68" s="20" t="str">
        <f aca="false">IFERROR(C68/F68,"")</f>
        <v/>
      </c>
      <c r="I68" s="20" t="str">
        <f aca="false">IFERROR(C68/D68*1000,"")</f>
        <v/>
      </c>
      <c r="J68" s="5"/>
      <c r="K68" s="20" t="str">
        <f aca="false">IFERROR(C68/J68,"")</f>
        <v/>
      </c>
      <c r="L68" s="19" t="str">
        <f aca="false">IFERROR(J68/F68,"")</f>
        <v/>
      </c>
      <c r="M68" s="5"/>
      <c r="N68" s="5"/>
      <c r="O68" s="24"/>
    </row>
    <row r="69" customFormat="false" ht="21.75" hidden="false" customHeight="true" outlineLevel="0" collapsed="false">
      <c r="A69" s="17"/>
      <c r="B69" s="11"/>
      <c r="C69" s="12"/>
      <c r="D69" s="18"/>
      <c r="E69" s="18"/>
      <c r="F69" s="18"/>
      <c r="G69" s="19" t="str">
        <f aca="false">IFERROR(F69/D69,"")</f>
        <v/>
      </c>
      <c r="H69" s="20" t="str">
        <f aca="false">IFERROR(C69/F69,"")</f>
        <v/>
      </c>
      <c r="I69" s="20" t="str">
        <f aca="false">IFERROR(C69/D69*1000,"")</f>
        <v/>
      </c>
      <c r="J69" s="11"/>
      <c r="K69" s="20" t="str">
        <f aca="false">IFERROR(C69/J69,"")</f>
        <v/>
      </c>
      <c r="L69" s="19" t="str">
        <f aca="false">IFERROR(J69/F69,"")</f>
        <v/>
      </c>
      <c r="M69" s="11"/>
      <c r="N69" s="11"/>
      <c r="O69" s="21"/>
    </row>
    <row r="70" customFormat="false" ht="21.75" hidden="false" customHeight="true" outlineLevel="0" collapsed="false">
      <c r="A70" s="22"/>
      <c r="B70" s="5"/>
      <c r="C70" s="7"/>
      <c r="D70" s="23"/>
      <c r="E70" s="23"/>
      <c r="F70" s="23"/>
      <c r="G70" s="19" t="str">
        <f aca="false">IFERROR(F70/D70,"")</f>
        <v/>
      </c>
      <c r="H70" s="20" t="str">
        <f aca="false">IFERROR(C70/F70,"")</f>
        <v/>
      </c>
      <c r="I70" s="20" t="str">
        <f aca="false">IFERROR(C70/D70*1000,"")</f>
        <v/>
      </c>
      <c r="J70" s="5"/>
      <c r="K70" s="20" t="str">
        <f aca="false">IFERROR(C70/J70,"")</f>
        <v/>
      </c>
      <c r="L70" s="19" t="str">
        <f aca="false">IFERROR(J70/F70,"")</f>
        <v/>
      </c>
      <c r="M70" s="5"/>
      <c r="N70" s="5"/>
      <c r="O70" s="24"/>
    </row>
    <row r="71" customFormat="false" ht="21.75" hidden="false" customHeight="true" outlineLevel="0" collapsed="false">
      <c r="A71" s="17"/>
      <c r="B71" s="11"/>
      <c r="C71" s="12"/>
      <c r="D71" s="18"/>
      <c r="E71" s="18"/>
      <c r="F71" s="18"/>
      <c r="G71" s="19" t="str">
        <f aca="false">IFERROR(F71/D71,"")</f>
        <v/>
      </c>
      <c r="H71" s="20" t="str">
        <f aca="false">IFERROR(C71/F71,"")</f>
        <v/>
      </c>
      <c r="I71" s="20" t="str">
        <f aca="false">IFERROR(C71/D71*1000,"")</f>
        <v/>
      </c>
      <c r="J71" s="11"/>
      <c r="K71" s="20" t="str">
        <f aca="false">IFERROR(C71/J71,"")</f>
        <v/>
      </c>
      <c r="L71" s="19" t="str">
        <f aca="false">IFERROR(J71/F71,"")</f>
        <v/>
      </c>
      <c r="M71" s="11"/>
      <c r="N71" s="11"/>
      <c r="O71" s="21"/>
    </row>
    <row r="72" customFormat="false" ht="21.75" hidden="false" customHeight="true" outlineLevel="0" collapsed="false">
      <c r="A72" s="22"/>
      <c r="B72" s="5"/>
      <c r="C72" s="7"/>
      <c r="D72" s="23"/>
      <c r="E72" s="23"/>
      <c r="F72" s="23"/>
      <c r="G72" s="19" t="str">
        <f aca="false">IFERROR(F72/D72,"")</f>
        <v/>
      </c>
      <c r="H72" s="20" t="str">
        <f aca="false">IFERROR(C72/F72,"")</f>
        <v/>
      </c>
      <c r="I72" s="20" t="str">
        <f aca="false">IFERROR(C72/D72*1000,"")</f>
        <v/>
      </c>
      <c r="J72" s="5"/>
      <c r="K72" s="20" t="str">
        <f aca="false">IFERROR(C72/J72,"")</f>
        <v/>
      </c>
      <c r="L72" s="19" t="str">
        <f aca="false">IFERROR(J72/F72,"")</f>
        <v/>
      </c>
      <c r="M72" s="5"/>
      <c r="N72" s="5"/>
      <c r="O72" s="24"/>
    </row>
    <row r="73" customFormat="false" ht="21.75" hidden="false" customHeight="true" outlineLevel="0" collapsed="false">
      <c r="A73" s="17"/>
      <c r="B73" s="11"/>
      <c r="C73" s="12"/>
      <c r="D73" s="18"/>
      <c r="E73" s="18"/>
      <c r="F73" s="18"/>
      <c r="G73" s="19" t="str">
        <f aca="false">IFERROR(F73/D73,"")</f>
        <v/>
      </c>
      <c r="H73" s="20" t="str">
        <f aca="false">IFERROR(C73/F73,"")</f>
        <v/>
      </c>
      <c r="I73" s="20" t="str">
        <f aca="false">IFERROR(C73/D73*1000,"")</f>
        <v/>
      </c>
      <c r="J73" s="11"/>
      <c r="K73" s="20" t="str">
        <f aca="false">IFERROR(C73/J73,"")</f>
        <v/>
      </c>
      <c r="L73" s="19" t="str">
        <f aca="false">IFERROR(J73/F73,"")</f>
        <v/>
      </c>
      <c r="M73" s="11"/>
      <c r="N73" s="11"/>
      <c r="O73" s="21"/>
    </row>
    <row r="74" customFormat="false" ht="21.75" hidden="false" customHeight="true" outlineLevel="0" collapsed="false">
      <c r="A74" s="22"/>
      <c r="B74" s="5"/>
      <c r="C74" s="7"/>
      <c r="D74" s="23"/>
      <c r="E74" s="23"/>
      <c r="F74" s="23"/>
      <c r="G74" s="19" t="str">
        <f aca="false">IFERROR(F74/D74,"")</f>
        <v/>
      </c>
      <c r="H74" s="20" t="str">
        <f aca="false">IFERROR(C74/F74,"")</f>
        <v/>
      </c>
      <c r="I74" s="20" t="str">
        <f aca="false">IFERROR(C74/D74*1000,"")</f>
        <v/>
      </c>
      <c r="J74" s="5"/>
      <c r="K74" s="20" t="str">
        <f aca="false">IFERROR(C74/J74,"")</f>
        <v/>
      </c>
      <c r="L74" s="19" t="str">
        <f aca="false">IFERROR(J74/F74,"")</f>
        <v/>
      </c>
      <c r="M74" s="5"/>
      <c r="N74" s="5"/>
      <c r="O74" s="24"/>
    </row>
    <row r="75" customFormat="false" ht="21.75" hidden="false" customHeight="true" outlineLevel="0" collapsed="false">
      <c r="A75" s="17"/>
      <c r="B75" s="11"/>
      <c r="C75" s="12"/>
      <c r="D75" s="18"/>
      <c r="E75" s="18"/>
      <c r="F75" s="18"/>
      <c r="G75" s="19" t="str">
        <f aca="false">IFERROR(F75/D75,"")</f>
        <v/>
      </c>
      <c r="H75" s="20" t="str">
        <f aca="false">IFERROR(C75/F75,"")</f>
        <v/>
      </c>
      <c r="I75" s="20" t="str">
        <f aca="false">IFERROR(C75/D75*1000,"")</f>
        <v/>
      </c>
      <c r="J75" s="11"/>
      <c r="K75" s="20" t="str">
        <f aca="false">IFERROR(C75/J75,"")</f>
        <v/>
      </c>
      <c r="L75" s="19" t="str">
        <f aca="false">IFERROR(J75/F75,"")</f>
        <v/>
      </c>
      <c r="M75" s="11"/>
      <c r="N75" s="11"/>
      <c r="O75" s="21"/>
    </row>
    <row r="76" customFormat="false" ht="21.75" hidden="false" customHeight="true" outlineLevel="0" collapsed="false">
      <c r="A76" s="22"/>
      <c r="B76" s="5"/>
      <c r="C76" s="7"/>
      <c r="D76" s="23"/>
      <c r="E76" s="23"/>
      <c r="F76" s="23"/>
      <c r="G76" s="19" t="str">
        <f aca="false">IFERROR(F76/D76,"")</f>
        <v/>
      </c>
      <c r="H76" s="20" t="str">
        <f aca="false">IFERROR(C76/F76,"")</f>
        <v/>
      </c>
      <c r="I76" s="20" t="str">
        <f aca="false">IFERROR(C76/D76*1000,"")</f>
        <v/>
      </c>
      <c r="J76" s="5"/>
      <c r="K76" s="20" t="str">
        <f aca="false">IFERROR(C76/J76,"")</f>
        <v/>
      </c>
      <c r="L76" s="19" t="str">
        <f aca="false">IFERROR(J76/F76,"")</f>
        <v/>
      </c>
      <c r="M76" s="5"/>
      <c r="N76" s="5"/>
      <c r="O76" s="24"/>
    </row>
    <row r="77" customFormat="false" ht="21.75" hidden="false" customHeight="true" outlineLevel="0" collapsed="false">
      <c r="A77" s="17"/>
      <c r="B77" s="11"/>
      <c r="C77" s="12"/>
      <c r="D77" s="18"/>
      <c r="E77" s="18"/>
      <c r="F77" s="18"/>
      <c r="G77" s="19" t="str">
        <f aca="false">IFERROR(F77/D77,"")</f>
        <v/>
      </c>
      <c r="H77" s="20" t="str">
        <f aca="false">IFERROR(C77/F77,"")</f>
        <v/>
      </c>
      <c r="I77" s="20" t="str">
        <f aca="false">IFERROR(C77/D77*1000,"")</f>
        <v/>
      </c>
      <c r="J77" s="11"/>
      <c r="K77" s="20" t="str">
        <f aca="false">IFERROR(C77/J77,"")</f>
        <v/>
      </c>
      <c r="L77" s="19" t="str">
        <f aca="false">IFERROR(J77/F77,"")</f>
        <v/>
      </c>
      <c r="M77" s="11"/>
      <c r="N77" s="11"/>
      <c r="O77" s="21"/>
    </row>
    <row r="78" customFormat="false" ht="21.75" hidden="false" customHeight="true" outlineLevel="0" collapsed="false">
      <c r="A78" s="22"/>
      <c r="B78" s="5"/>
      <c r="C78" s="7"/>
      <c r="D78" s="23"/>
      <c r="E78" s="23"/>
      <c r="F78" s="23"/>
      <c r="G78" s="19" t="str">
        <f aca="false">IFERROR(F78/D78,"")</f>
        <v/>
      </c>
      <c r="H78" s="20" t="str">
        <f aca="false">IFERROR(C78/F78,"")</f>
        <v/>
      </c>
      <c r="I78" s="20" t="str">
        <f aca="false">IFERROR(C78/D78*1000,"")</f>
        <v/>
      </c>
      <c r="J78" s="5"/>
      <c r="K78" s="20" t="str">
        <f aca="false">IFERROR(C78/J78,"")</f>
        <v/>
      </c>
      <c r="L78" s="19" t="str">
        <f aca="false">IFERROR(J78/F78,"")</f>
        <v/>
      </c>
      <c r="M78" s="5"/>
      <c r="N78" s="5"/>
      <c r="O78" s="24"/>
    </row>
    <row r="79" customFormat="false" ht="21.75" hidden="false" customHeight="true" outlineLevel="0" collapsed="false">
      <c r="A79" s="17"/>
      <c r="B79" s="11"/>
      <c r="C79" s="12"/>
      <c r="D79" s="18"/>
      <c r="E79" s="18"/>
      <c r="F79" s="18"/>
      <c r="G79" s="19" t="str">
        <f aca="false">IFERROR(F79/D79,"")</f>
        <v/>
      </c>
      <c r="H79" s="20" t="str">
        <f aca="false">IFERROR(C79/F79,"")</f>
        <v/>
      </c>
      <c r="I79" s="20" t="str">
        <f aca="false">IFERROR(C79/D79*1000,"")</f>
        <v/>
      </c>
      <c r="J79" s="11"/>
      <c r="K79" s="20" t="str">
        <f aca="false">IFERROR(C79/J79,"")</f>
        <v/>
      </c>
      <c r="L79" s="19" t="str">
        <f aca="false">IFERROR(J79/F79,"")</f>
        <v/>
      </c>
      <c r="M79" s="11"/>
      <c r="N79" s="11"/>
      <c r="O79" s="21"/>
    </row>
    <row r="80" customFormat="false" ht="21.75" hidden="false" customHeight="true" outlineLevel="0" collapsed="false">
      <c r="A80" s="22"/>
      <c r="B80" s="5"/>
      <c r="C80" s="7"/>
      <c r="D80" s="23"/>
      <c r="E80" s="23"/>
      <c r="F80" s="23"/>
      <c r="G80" s="19" t="str">
        <f aca="false">IFERROR(F80/D80,"")</f>
        <v/>
      </c>
      <c r="H80" s="20" t="str">
        <f aca="false">IFERROR(C80/F80,"")</f>
        <v/>
      </c>
      <c r="I80" s="20" t="str">
        <f aca="false">IFERROR(C80/D80*1000,"")</f>
        <v/>
      </c>
      <c r="J80" s="5"/>
      <c r="K80" s="20" t="str">
        <f aca="false">IFERROR(C80/J80,"")</f>
        <v/>
      </c>
      <c r="L80" s="19" t="str">
        <f aca="false">IFERROR(J80/F80,"")</f>
        <v/>
      </c>
      <c r="M80" s="5"/>
      <c r="N80" s="5"/>
      <c r="O80" s="24"/>
    </row>
    <row r="81" customFormat="false" ht="21.75" hidden="false" customHeight="true" outlineLevel="0" collapsed="false">
      <c r="A81" s="17"/>
      <c r="B81" s="11"/>
      <c r="C81" s="12"/>
      <c r="D81" s="18"/>
      <c r="E81" s="18"/>
      <c r="F81" s="18"/>
      <c r="G81" s="19" t="str">
        <f aca="false">IFERROR(F81/D81,"")</f>
        <v/>
      </c>
      <c r="H81" s="20" t="str">
        <f aca="false">IFERROR(C81/F81,"")</f>
        <v/>
      </c>
      <c r="I81" s="20" t="str">
        <f aca="false">IFERROR(C81/D81*1000,"")</f>
        <v/>
      </c>
      <c r="J81" s="11"/>
      <c r="K81" s="20" t="str">
        <f aca="false">IFERROR(C81/J81,"")</f>
        <v/>
      </c>
      <c r="L81" s="19" t="str">
        <f aca="false">IFERROR(J81/F81,"")</f>
        <v/>
      </c>
      <c r="M81" s="11"/>
      <c r="N81" s="11"/>
      <c r="O81" s="21"/>
    </row>
    <row r="82" customFormat="false" ht="21.75" hidden="false" customHeight="true" outlineLevel="0" collapsed="false">
      <c r="A82" s="22"/>
      <c r="B82" s="5"/>
      <c r="C82" s="7"/>
      <c r="D82" s="23"/>
      <c r="E82" s="23"/>
      <c r="F82" s="23"/>
      <c r="G82" s="19" t="str">
        <f aca="false">IFERROR(F82/D82,"")</f>
        <v/>
      </c>
      <c r="H82" s="20" t="str">
        <f aca="false">IFERROR(C82/F82,"")</f>
        <v/>
      </c>
      <c r="I82" s="20" t="str">
        <f aca="false">IFERROR(C82/D82*1000,"")</f>
        <v/>
      </c>
      <c r="J82" s="5"/>
      <c r="K82" s="20" t="str">
        <f aca="false">IFERROR(C82/J82,"")</f>
        <v/>
      </c>
      <c r="L82" s="19" t="str">
        <f aca="false">IFERROR(J82/F82,"")</f>
        <v/>
      </c>
      <c r="M82" s="5"/>
      <c r="N82" s="5"/>
      <c r="O82" s="24"/>
    </row>
    <row r="83" customFormat="false" ht="21.75" hidden="false" customHeight="true" outlineLevel="0" collapsed="false">
      <c r="A83" s="17"/>
      <c r="B83" s="11"/>
      <c r="C83" s="12"/>
      <c r="D83" s="18"/>
      <c r="E83" s="18"/>
      <c r="F83" s="18"/>
      <c r="G83" s="19" t="str">
        <f aca="false">IFERROR(F83/D83,"")</f>
        <v/>
      </c>
      <c r="H83" s="20" t="str">
        <f aca="false">IFERROR(C83/F83,"")</f>
        <v/>
      </c>
      <c r="I83" s="20" t="str">
        <f aca="false">IFERROR(C83/D83*1000,"")</f>
        <v/>
      </c>
      <c r="J83" s="11"/>
      <c r="K83" s="20" t="str">
        <f aca="false">IFERROR(C83/J83,"")</f>
        <v/>
      </c>
      <c r="L83" s="19" t="str">
        <f aca="false">IFERROR(J83/F83,"")</f>
        <v/>
      </c>
      <c r="M83" s="11"/>
      <c r="N83" s="11"/>
      <c r="O83" s="21"/>
    </row>
    <row r="84" customFormat="false" ht="21.75" hidden="false" customHeight="true" outlineLevel="0" collapsed="false">
      <c r="A84" s="22"/>
      <c r="B84" s="5"/>
      <c r="C84" s="7"/>
      <c r="D84" s="23"/>
      <c r="E84" s="23"/>
      <c r="F84" s="23"/>
      <c r="G84" s="19" t="str">
        <f aca="false">IFERROR(F84/D84,"")</f>
        <v/>
      </c>
      <c r="H84" s="20" t="str">
        <f aca="false">IFERROR(C84/F84,"")</f>
        <v/>
      </c>
      <c r="I84" s="20" t="str">
        <f aca="false">IFERROR(C84/D84*1000,"")</f>
        <v/>
      </c>
      <c r="J84" s="5"/>
      <c r="K84" s="20" t="str">
        <f aca="false">IFERROR(C84/J84,"")</f>
        <v/>
      </c>
      <c r="L84" s="19" t="str">
        <f aca="false">IFERROR(J84/F84,"")</f>
        <v/>
      </c>
      <c r="M84" s="5"/>
      <c r="N84" s="5"/>
      <c r="O84" s="24"/>
    </row>
    <row r="85" customFormat="false" ht="21.75" hidden="false" customHeight="true" outlineLevel="0" collapsed="false">
      <c r="A85" s="17"/>
      <c r="B85" s="11"/>
      <c r="C85" s="12"/>
      <c r="D85" s="18"/>
      <c r="E85" s="18"/>
      <c r="F85" s="18"/>
      <c r="G85" s="19" t="str">
        <f aca="false">IFERROR(F85/D85,"")</f>
        <v/>
      </c>
      <c r="H85" s="20" t="str">
        <f aca="false">IFERROR(C85/F85,"")</f>
        <v/>
      </c>
      <c r="I85" s="20" t="str">
        <f aca="false">IFERROR(C85/D85*1000,"")</f>
        <v/>
      </c>
      <c r="J85" s="11"/>
      <c r="K85" s="20" t="str">
        <f aca="false">IFERROR(C85/J85,"")</f>
        <v/>
      </c>
      <c r="L85" s="19" t="str">
        <f aca="false">IFERROR(J85/F85,"")</f>
        <v/>
      </c>
      <c r="M85" s="11"/>
      <c r="N85" s="11"/>
      <c r="O85" s="21"/>
    </row>
    <row r="86" customFormat="false" ht="21.75" hidden="false" customHeight="true" outlineLevel="0" collapsed="false">
      <c r="A86" s="22"/>
      <c r="B86" s="5"/>
      <c r="C86" s="7"/>
      <c r="D86" s="23"/>
      <c r="E86" s="23"/>
      <c r="F86" s="23"/>
      <c r="G86" s="19" t="str">
        <f aca="false">IFERROR(F86/D86,"")</f>
        <v/>
      </c>
      <c r="H86" s="20" t="str">
        <f aca="false">IFERROR(C86/F86,"")</f>
        <v/>
      </c>
      <c r="I86" s="20" t="str">
        <f aca="false">IFERROR(C86/D86*1000,"")</f>
        <v/>
      </c>
      <c r="J86" s="5"/>
      <c r="K86" s="20" t="str">
        <f aca="false">IFERROR(C86/J86,"")</f>
        <v/>
      </c>
      <c r="L86" s="19" t="str">
        <f aca="false">IFERROR(J86/F86,"")</f>
        <v/>
      </c>
      <c r="M86" s="5"/>
      <c r="N86" s="5"/>
      <c r="O86" s="24"/>
    </row>
    <row r="87" customFormat="false" ht="21.75" hidden="false" customHeight="true" outlineLevel="0" collapsed="false">
      <c r="A87" s="17"/>
      <c r="B87" s="11"/>
      <c r="C87" s="12"/>
      <c r="D87" s="18"/>
      <c r="E87" s="18"/>
      <c r="F87" s="18"/>
      <c r="G87" s="19" t="str">
        <f aca="false">IFERROR(F87/D87,"")</f>
        <v/>
      </c>
      <c r="H87" s="20" t="str">
        <f aca="false">IFERROR(C87/F87,"")</f>
        <v/>
      </c>
      <c r="I87" s="20" t="str">
        <f aca="false">IFERROR(C87/D87*1000,"")</f>
        <v/>
      </c>
      <c r="J87" s="11"/>
      <c r="K87" s="20" t="str">
        <f aca="false">IFERROR(C87/J87,"")</f>
        <v/>
      </c>
      <c r="L87" s="19" t="str">
        <f aca="false">IFERROR(J87/F87,"")</f>
        <v/>
      </c>
      <c r="M87" s="11"/>
      <c r="N87" s="11"/>
      <c r="O87" s="21"/>
    </row>
    <row r="88" customFormat="false" ht="21.75" hidden="false" customHeight="true" outlineLevel="0" collapsed="false">
      <c r="A88" s="22"/>
      <c r="B88" s="5"/>
      <c r="C88" s="7"/>
      <c r="D88" s="23"/>
      <c r="E88" s="23"/>
      <c r="F88" s="23"/>
      <c r="G88" s="19" t="str">
        <f aca="false">IFERROR(F88/D88,"")</f>
        <v/>
      </c>
      <c r="H88" s="20" t="str">
        <f aca="false">IFERROR(C88/F88,"")</f>
        <v/>
      </c>
      <c r="I88" s="20" t="str">
        <f aca="false">IFERROR(C88/D88*1000,"")</f>
        <v/>
      </c>
      <c r="J88" s="5"/>
      <c r="K88" s="20" t="str">
        <f aca="false">IFERROR(C88/J88,"")</f>
        <v/>
      </c>
      <c r="L88" s="19" t="str">
        <f aca="false">IFERROR(J88/F88,"")</f>
        <v/>
      </c>
      <c r="M88" s="5"/>
      <c r="N88" s="5"/>
      <c r="O88" s="24"/>
    </row>
    <row r="89" customFormat="false" ht="21.75" hidden="false" customHeight="true" outlineLevel="0" collapsed="false">
      <c r="A89" s="17"/>
      <c r="B89" s="11"/>
      <c r="C89" s="12"/>
      <c r="D89" s="18"/>
      <c r="E89" s="18"/>
      <c r="F89" s="18"/>
      <c r="G89" s="19" t="str">
        <f aca="false">IFERROR(F89/D89,"")</f>
        <v/>
      </c>
      <c r="H89" s="20" t="str">
        <f aca="false">IFERROR(C89/F89,"")</f>
        <v/>
      </c>
      <c r="I89" s="20" t="str">
        <f aca="false">IFERROR(C89/D89*1000,"")</f>
        <v/>
      </c>
      <c r="J89" s="11"/>
      <c r="K89" s="20" t="str">
        <f aca="false">IFERROR(C89/J89,"")</f>
        <v/>
      </c>
      <c r="L89" s="19" t="str">
        <f aca="false">IFERROR(J89/F89,"")</f>
        <v/>
      </c>
      <c r="M89" s="11"/>
      <c r="N89" s="11"/>
      <c r="O89" s="21"/>
    </row>
    <row r="90" customFormat="false" ht="21.75" hidden="false" customHeight="true" outlineLevel="0" collapsed="false">
      <c r="A90" s="22"/>
      <c r="B90" s="5"/>
      <c r="C90" s="7"/>
      <c r="D90" s="23"/>
      <c r="E90" s="23"/>
      <c r="F90" s="23"/>
      <c r="G90" s="19" t="str">
        <f aca="false">IFERROR(F90/D90,"")</f>
        <v/>
      </c>
      <c r="H90" s="20" t="str">
        <f aca="false">IFERROR(C90/F90,"")</f>
        <v/>
      </c>
      <c r="I90" s="20" t="str">
        <f aca="false">IFERROR(C90/D90*1000,"")</f>
        <v/>
      </c>
      <c r="J90" s="5"/>
      <c r="K90" s="20" t="str">
        <f aca="false">IFERROR(C90/J90,"")</f>
        <v/>
      </c>
      <c r="L90" s="19" t="str">
        <f aca="false">IFERROR(J90/F90,"")</f>
        <v/>
      </c>
      <c r="M90" s="5"/>
      <c r="N90" s="5"/>
      <c r="O90" s="24"/>
    </row>
    <row r="91" customFormat="false" ht="21.75" hidden="false" customHeight="true" outlineLevel="0" collapsed="false">
      <c r="A91" s="17"/>
      <c r="B91" s="11"/>
      <c r="C91" s="12"/>
      <c r="D91" s="18"/>
      <c r="E91" s="18"/>
      <c r="F91" s="18"/>
      <c r="G91" s="19" t="str">
        <f aca="false">IFERROR(F91/D91,"")</f>
        <v/>
      </c>
      <c r="H91" s="20" t="str">
        <f aca="false">IFERROR(C91/F91,"")</f>
        <v/>
      </c>
      <c r="I91" s="20" t="str">
        <f aca="false">IFERROR(C91/D91*1000,"")</f>
        <v/>
      </c>
      <c r="J91" s="11"/>
      <c r="K91" s="20" t="str">
        <f aca="false">IFERROR(C91/J91,"")</f>
        <v/>
      </c>
      <c r="L91" s="19" t="str">
        <f aca="false">IFERROR(J91/F91,"")</f>
        <v/>
      </c>
      <c r="M91" s="11"/>
      <c r="N91" s="11"/>
      <c r="O91" s="21"/>
    </row>
    <row r="92" customFormat="false" ht="21.75" hidden="false" customHeight="true" outlineLevel="0" collapsed="false">
      <c r="A92" s="22"/>
      <c r="B92" s="5"/>
      <c r="C92" s="7"/>
      <c r="D92" s="23"/>
      <c r="E92" s="23"/>
      <c r="F92" s="23"/>
      <c r="G92" s="19" t="str">
        <f aca="false">IFERROR(F92/D92,"")</f>
        <v/>
      </c>
      <c r="H92" s="20" t="str">
        <f aca="false">IFERROR(C92/F92,"")</f>
        <v/>
      </c>
      <c r="I92" s="20" t="str">
        <f aca="false">IFERROR(C92/D92*1000,"")</f>
        <v/>
      </c>
      <c r="J92" s="5"/>
      <c r="K92" s="20" t="str">
        <f aca="false">IFERROR(C92/J92,"")</f>
        <v/>
      </c>
      <c r="L92" s="19" t="str">
        <f aca="false">IFERROR(J92/F92,"")</f>
        <v/>
      </c>
      <c r="M92" s="5"/>
      <c r="N92" s="5"/>
      <c r="O92" s="24"/>
    </row>
    <row r="93" customFormat="false" ht="21.75" hidden="false" customHeight="true" outlineLevel="0" collapsed="false">
      <c r="A93" s="17"/>
      <c r="B93" s="11"/>
      <c r="C93" s="12"/>
      <c r="D93" s="18"/>
      <c r="E93" s="18"/>
      <c r="F93" s="18"/>
      <c r="G93" s="19" t="str">
        <f aca="false">IFERROR(F93/D93,"")</f>
        <v/>
      </c>
      <c r="H93" s="20" t="str">
        <f aca="false">IFERROR(C93/F93,"")</f>
        <v/>
      </c>
      <c r="I93" s="20" t="str">
        <f aca="false">IFERROR(C93/D93*1000,"")</f>
        <v/>
      </c>
      <c r="J93" s="11"/>
      <c r="K93" s="20" t="str">
        <f aca="false">IFERROR(C93/J93,"")</f>
        <v/>
      </c>
      <c r="L93" s="19" t="str">
        <f aca="false">IFERROR(J93/F93,"")</f>
        <v/>
      </c>
      <c r="M93" s="11"/>
      <c r="N93" s="11"/>
      <c r="O93" s="21"/>
    </row>
    <row r="94" customFormat="false" ht="21.75" hidden="false" customHeight="true" outlineLevel="0" collapsed="false">
      <c r="A94" s="22"/>
      <c r="B94" s="5"/>
      <c r="C94" s="7"/>
      <c r="D94" s="23"/>
      <c r="E94" s="23"/>
      <c r="F94" s="23"/>
      <c r="G94" s="19" t="str">
        <f aca="false">IFERROR(F94/D94,"")</f>
        <v/>
      </c>
      <c r="H94" s="20" t="str">
        <f aca="false">IFERROR(C94/F94,"")</f>
        <v/>
      </c>
      <c r="I94" s="20" t="str">
        <f aca="false">IFERROR(C94/D94*1000,"")</f>
        <v/>
      </c>
      <c r="J94" s="5"/>
      <c r="K94" s="20" t="str">
        <f aca="false">IFERROR(C94/J94,"")</f>
        <v/>
      </c>
      <c r="L94" s="19" t="str">
        <f aca="false">IFERROR(J94/F94,"")</f>
        <v/>
      </c>
      <c r="M94" s="5"/>
      <c r="N94" s="5"/>
      <c r="O94" s="24"/>
    </row>
    <row r="95" customFormat="false" ht="21.75" hidden="false" customHeight="true" outlineLevel="0" collapsed="false">
      <c r="A95" s="17"/>
      <c r="B95" s="11"/>
      <c r="C95" s="12"/>
      <c r="D95" s="18"/>
      <c r="E95" s="18"/>
      <c r="F95" s="18"/>
      <c r="G95" s="19" t="str">
        <f aca="false">IFERROR(F95/D95,"")</f>
        <v/>
      </c>
      <c r="H95" s="20" t="str">
        <f aca="false">IFERROR(C95/F95,"")</f>
        <v/>
      </c>
      <c r="I95" s="20" t="str">
        <f aca="false">IFERROR(C95/D95*1000,"")</f>
        <v/>
      </c>
      <c r="J95" s="11"/>
      <c r="K95" s="20" t="str">
        <f aca="false">IFERROR(C95/J95,"")</f>
        <v/>
      </c>
      <c r="L95" s="19" t="str">
        <f aca="false">IFERROR(J95/F95,"")</f>
        <v/>
      </c>
      <c r="M95" s="11"/>
      <c r="N95" s="11"/>
      <c r="O95" s="21"/>
    </row>
    <row r="96" customFormat="false" ht="21.75" hidden="false" customHeight="true" outlineLevel="0" collapsed="false">
      <c r="A96" s="22"/>
      <c r="B96" s="5"/>
      <c r="C96" s="7"/>
      <c r="D96" s="23"/>
      <c r="E96" s="23"/>
      <c r="F96" s="23"/>
      <c r="G96" s="19" t="str">
        <f aca="false">IFERROR(F96/D96,"")</f>
        <v/>
      </c>
      <c r="H96" s="20" t="str">
        <f aca="false">IFERROR(C96/F96,"")</f>
        <v/>
      </c>
      <c r="I96" s="20" t="str">
        <f aca="false">IFERROR(C96/D96*1000,"")</f>
        <v/>
      </c>
      <c r="J96" s="5"/>
      <c r="K96" s="20" t="str">
        <f aca="false">IFERROR(C96/J96,"")</f>
        <v/>
      </c>
      <c r="L96" s="19" t="str">
        <f aca="false">IFERROR(J96/F96,"")</f>
        <v/>
      </c>
      <c r="M96" s="5"/>
      <c r="N96" s="5"/>
      <c r="O96" s="24"/>
    </row>
    <row r="97" customFormat="false" ht="21.75" hidden="false" customHeight="true" outlineLevel="0" collapsed="false">
      <c r="A97" s="17"/>
      <c r="B97" s="11"/>
      <c r="C97" s="12"/>
      <c r="D97" s="18"/>
      <c r="E97" s="18"/>
      <c r="F97" s="18"/>
      <c r="G97" s="19" t="str">
        <f aca="false">IFERROR(F97/D97,"")</f>
        <v/>
      </c>
      <c r="H97" s="20" t="str">
        <f aca="false">IFERROR(C97/F97,"")</f>
        <v/>
      </c>
      <c r="I97" s="20" t="str">
        <f aca="false">IFERROR(C97/D97*1000,"")</f>
        <v/>
      </c>
      <c r="J97" s="11"/>
      <c r="K97" s="20" t="str">
        <f aca="false">IFERROR(C97/J97,"")</f>
        <v/>
      </c>
      <c r="L97" s="19" t="str">
        <f aca="false">IFERROR(J97/F97,"")</f>
        <v/>
      </c>
      <c r="M97" s="11"/>
      <c r="N97" s="11"/>
      <c r="O97" s="21"/>
    </row>
    <row r="98" customFormat="false" ht="21.75" hidden="false" customHeight="true" outlineLevel="0" collapsed="false">
      <c r="A98" s="22"/>
      <c r="B98" s="5"/>
      <c r="C98" s="7"/>
      <c r="D98" s="23"/>
      <c r="E98" s="23"/>
      <c r="F98" s="23"/>
      <c r="G98" s="19" t="str">
        <f aca="false">IFERROR(F98/D98,"")</f>
        <v/>
      </c>
      <c r="H98" s="20" t="str">
        <f aca="false">IFERROR(C98/F98,"")</f>
        <v/>
      </c>
      <c r="I98" s="20" t="str">
        <f aca="false">IFERROR(C98/D98*1000,"")</f>
        <v/>
      </c>
      <c r="J98" s="5"/>
      <c r="K98" s="20" t="str">
        <f aca="false">IFERROR(C98/J98,"")</f>
        <v/>
      </c>
      <c r="L98" s="19" t="str">
        <f aca="false">IFERROR(J98/F98,"")</f>
        <v/>
      </c>
      <c r="M98" s="5"/>
      <c r="N98" s="5"/>
      <c r="O98" s="24"/>
    </row>
    <row r="99" customFormat="false" ht="21.75" hidden="false" customHeight="true" outlineLevel="0" collapsed="false">
      <c r="A99" s="17"/>
      <c r="B99" s="11"/>
      <c r="C99" s="12"/>
      <c r="D99" s="18"/>
      <c r="E99" s="18"/>
      <c r="F99" s="18"/>
      <c r="G99" s="19" t="str">
        <f aca="false">IFERROR(F99/D99,"")</f>
        <v/>
      </c>
      <c r="H99" s="20" t="str">
        <f aca="false">IFERROR(C99/F99,"")</f>
        <v/>
      </c>
      <c r="I99" s="20" t="str">
        <f aca="false">IFERROR(C99/D99*1000,"")</f>
        <v/>
      </c>
      <c r="J99" s="11"/>
      <c r="K99" s="20" t="str">
        <f aca="false">IFERROR(C99/J99,"")</f>
        <v/>
      </c>
      <c r="L99" s="19" t="str">
        <f aca="false">IFERROR(J99/F99,"")</f>
        <v/>
      </c>
      <c r="M99" s="11"/>
      <c r="N99" s="11"/>
      <c r="O99" s="21"/>
    </row>
    <row r="100" customFormat="false" ht="21.75" hidden="false" customHeight="true" outlineLevel="0" collapsed="false">
      <c r="A100" s="22"/>
      <c r="B100" s="5"/>
      <c r="C100" s="7"/>
      <c r="D100" s="23"/>
      <c r="E100" s="23"/>
      <c r="F100" s="23"/>
      <c r="G100" s="19" t="str">
        <f aca="false">IFERROR(F100/D100,"")</f>
        <v/>
      </c>
      <c r="H100" s="20" t="str">
        <f aca="false">IFERROR(C100/F100,"")</f>
        <v/>
      </c>
      <c r="I100" s="20" t="str">
        <f aca="false">IFERROR(C100/D100*1000,"")</f>
        <v/>
      </c>
      <c r="J100" s="5"/>
      <c r="K100" s="20" t="str">
        <f aca="false">IFERROR(C100/J100,"")</f>
        <v/>
      </c>
      <c r="L100" s="19" t="str">
        <f aca="false">IFERROR(J100/F100,"")</f>
        <v/>
      </c>
      <c r="M100" s="5"/>
      <c r="N100" s="5"/>
      <c r="O100" s="24"/>
    </row>
    <row r="101" customFormat="false" ht="21.75" hidden="false" customHeight="true" outlineLevel="0" collapsed="false">
      <c r="A101" s="17"/>
      <c r="B101" s="11"/>
      <c r="C101" s="12"/>
      <c r="D101" s="18"/>
      <c r="E101" s="18"/>
      <c r="F101" s="18"/>
      <c r="G101" s="19" t="str">
        <f aca="false">IFERROR(F101/D101,"")</f>
        <v/>
      </c>
      <c r="H101" s="20" t="str">
        <f aca="false">IFERROR(C101/F101,"")</f>
        <v/>
      </c>
      <c r="I101" s="20" t="str">
        <f aca="false">IFERROR(C101/D101*1000,"")</f>
        <v/>
      </c>
      <c r="J101" s="11"/>
      <c r="K101" s="20" t="str">
        <f aca="false">IFERROR(C101/J101,"")</f>
        <v/>
      </c>
      <c r="L101" s="19" t="str">
        <f aca="false">IFERROR(J101/F101,"")</f>
        <v/>
      </c>
      <c r="M101" s="11"/>
      <c r="N101" s="11"/>
      <c r="O101" s="21"/>
    </row>
    <row r="102" customFormat="false" ht="21.75" hidden="false" customHeight="true" outlineLevel="0" collapsed="false">
      <c r="A102" s="22"/>
      <c r="B102" s="5"/>
      <c r="C102" s="7"/>
      <c r="D102" s="23"/>
      <c r="E102" s="23"/>
      <c r="F102" s="23"/>
      <c r="G102" s="19" t="str">
        <f aca="false">IFERROR(F102/D102,"")</f>
        <v/>
      </c>
      <c r="H102" s="20" t="str">
        <f aca="false">IFERROR(C102/F102,"")</f>
        <v/>
      </c>
      <c r="I102" s="20" t="str">
        <f aca="false">IFERROR(C102/D102*1000,"")</f>
        <v/>
      </c>
      <c r="J102" s="5"/>
      <c r="K102" s="20" t="str">
        <f aca="false">IFERROR(C102/J102,"")</f>
        <v/>
      </c>
      <c r="L102" s="19" t="str">
        <f aca="false">IFERROR(J102/F102,"")</f>
        <v/>
      </c>
      <c r="M102" s="5"/>
      <c r="N102" s="5"/>
      <c r="O102" s="24"/>
    </row>
    <row r="103" customFormat="false" ht="21.75" hidden="false" customHeight="true" outlineLevel="0" collapsed="false">
      <c r="A103" s="17"/>
      <c r="B103" s="11"/>
      <c r="C103" s="12"/>
      <c r="D103" s="18"/>
      <c r="E103" s="18"/>
      <c r="F103" s="18"/>
      <c r="G103" s="19" t="str">
        <f aca="false">IFERROR(F103/D103,"")</f>
        <v/>
      </c>
      <c r="H103" s="20" t="str">
        <f aca="false">IFERROR(C103/F103,"")</f>
        <v/>
      </c>
      <c r="I103" s="20" t="str">
        <f aca="false">IFERROR(C103/D103*1000,"")</f>
        <v/>
      </c>
      <c r="J103" s="11"/>
      <c r="K103" s="20" t="str">
        <f aca="false">IFERROR(C103/J103,"")</f>
        <v/>
      </c>
      <c r="L103" s="19" t="str">
        <f aca="false">IFERROR(J103/F103,"")</f>
        <v/>
      </c>
      <c r="M103" s="11"/>
      <c r="N103" s="11"/>
      <c r="O103" s="21"/>
    </row>
    <row r="104" customFormat="false" ht="21.75" hidden="false" customHeight="true" outlineLevel="0" collapsed="false">
      <c r="A104" s="22"/>
      <c r="B104" s="5"/>
      <c r="C104" s="7"/>
      <c r="D104" s="23"/>
      <c r="E104" s="23"/>
      <c r="F104" s="23"/>
      <c r="G104" s="19" t="str">
        <f aca="false">IFERROR(F104/D104,"")</f>
        <v/>
      </c>
      <c r="H104" s="20" t="str">
        <f aca="false">IFERROR(C104/F104,"")</f>
        <v/>
      </c>
      <c r="I104" s="20" t="str">
        <f aca="false">IFERROR(C104/D104*1000,"")</f>
        <v/>
      </c>
      <c r="J104" s="5"/>
      <c r="K104" s="20" t="str">
        <f aca="false">IFERROR(C104/J104,"")</f>
        <v/>
      </c>
      <c r="L104" s="19" t="str">
        <f aca="false">IFERROR(J104/F104,"")</f>
        <v/>
      </c>
      <c r="M104" s="5"/>
      <c r="N104" s="5"/>
      <c r="O104" s="24"/>
    </row>
    <row r="105" customFormat="false" ht="21.75" hidden="false" customHeight="true" outlineLevel="0" collapsed="false">
      <c r="A105" s="17"/>
      <c r="B105" s="11"/>
      <c r="C105" s="12"/>
      <c r="D105" s="18"/>
      <c r="E105" s="18"/>
      <c r="F105" s="18"/>
      <c r="G105" s="19" t="str">
        <f aca="false">IFERROR(F105/D105,"")</f>
        <v/>
      </c>
      <c r="H105" s="20" t="str">
        <f aca="false">IFERROR(C105/F105,"")</f>
        <v/>
      </c>
      <c r="I105" s="20" t="str">
        <f aca="false">IFERROR(C105/D105*1000,"")</f>
        <v/>
      </c>
      <c r="J105" s="11"/>
      <c r="K105" s="20" t="str">
        <f aca="false">IFERROR(C105/J105,"")</f>
        <v/>
      </c>
      <c r="L105" s="19" t="str">
        <f aca="false">IFERROR(J105/F105,"")</f>
        <v/>
      </c>
      <c r="M105" s="11"/>
      <c r="N105" s="11"/>
      <c r="O105" s="21"/>
    </row>
    <row r="106" customFormat="false" ht="21.75" hidden="false" customHeight="true" outlineLevel="0" collapsed="false">
      <c r="A106" s="22"/>
      <c r="B106" s="5"/>
      <c r="C106" s="7"/>
      <c r="D106" s="23"/>
      <c r="E106" s="23"/>
      <c r="F106" s="23"/>
      <c r="G106" s="19" t="str">
        <f aca="false">IFERROR(F106/D106,"")</f>
        <v/>
      </c>
      <c r="H106" s="20" t="str">
        <f aca="false">IFERROR(C106/F106,"")</f>
        <v/>
      </c>
      <c r="I106" s="20" t="str">
        <f aca="false">IFERROR(C106/D106*1000,"")</f>
        <v/>
      </c>
      <c r="J106" s="5"/>
      <c r="K106" s="20" t="str">
        <f aca="false">IFERROR(C106/J106,"")</f>
        <v/>
      </c>
      <c r="L106" s="19" t="str">
        <f aca="false">IFERROR(J106/F106,"")</f>
        <v/>
      </c>
      <c r="M106" s="5"/>
      <c r="N106" s="5"/>
      <c r="O106" s="24"/>
    </row>
    <row r="107" customFormat="false" ht="21.75" hidden="false" customHeight="true" outlineLevel="0" collapsed="false">
      <c r="A107" s="17"/>
      <c r="B107" s="11"/>
      <c r="C107" s="12"/>
      <c r="D107" s="18"/>
      <c r="E107" s="18"/>
      <c r="F107" s="18"/>
      <c r="G107" s="19" t="str">
        <f aca="false">IFERROR(F107/D107,"")</f>
        <v/>
      </c>
      <c r="H107" s="20" t="str">
        <f aca="false">IFERROR(C107/F107,"")</f>
        <v/>
      </c>
      <c r="I107" s="20" t="str">
        <f aca="false">IFERROR(C107/D107*1000,"")</f>
        <v/>
      </c>
      <c r="J107" s="11"/>
      <c r="K107" s="20" t="str">
        <f aca="false">IFERROR(C107/J107,"")</f>
        <v/>
      </c>
      <c r="L107" s="19" t="str">
        <f aca="false">IFERROR(J107/F107,"")</f>
        <v/>
      </c>
      <c r="M107" s="11"/>
      <c r="N107" s="11"/>
      <c r="O107" s="21"/>
    </row>
    <row r="108" customFormat="false" ht="21.75" hidden="false" customHeight="true" outlineLevel="0" collapsed="false">
      <c r="A108" s="22"/>
      <c r="B108" s="5"/>
      <c r="C108" s="7"/>
      <c r="D108" s="23"/>
      <c r="E108" s="23"/>
      <c r="F108" s="23"/>
      <c r="G108" s="19" t="str">
        <f aca="false">IFERROR(F108/D108,"")</f>
        <v/>
      </c>
      <c r="H108" s="20" t="str">
        <f aca="false">IFERROR(C108/F108,"")</f>
        <v/>
      </c>
      <c r="I108" s="20" t="str">
        <f aca="false">IFERROR(C108/D108*1000,"")</f>
        <v/>
      </c>
      <c r="J108" s="5"/>
      <c r="K108" s="20" t="str">
        <f aca="false">IFERROR(C108/J108,"")</f>
        <v/>
      </c>
      <c r="L108" s="19" t="str">
        <f aca="false">IFERROR(J108/F108,"")</f>
        <v/>
      </c>
      <c r="M108" s="5"/>
      <c r="N108" s="5"/>
      <c r="O108" s="24"/>
    </row>
    <row r="109" customFormat="false" ht="21.75" hidden="false" customHeight="true" outlineLevel="0" collapsed="false">
      <c r="A109" s="17"/>
      <c r="B109" s="11"/>
      <c r="C109" s="12"/>
      <c r="D109" s="18"/>
      <c r="E109" s="18"/>
      <c r="F109" s="18"/>
      <c r="G109" s="19" t="str">
        <f aca="false">IFERROR(F109/D109,"")</f>
        <v/>
      </c>
      <c r="H109" s="20" t="str">
        <f aca="false">IFERROR(C109/F109,"")</f>
        <v/>
      </c>
      <c r="I109" s="20" t="str">
        <f aca="false">IFERROR(C109/D109*1000,"")</f>
        <v/>
      </c>
      <c r="J109" s="11"/>
      <c r="K109" s="20" t="str">
        <f aca="false">IFERROR(C109/J109,"")</f>
        <v/>
      </c>
      <c r="L109" s="19" t="str">
        <f aca="false">IFERROR(J109/F109,"")</f>
        <v/>
      </c>
      <c r="M109" s="11"/>
      <c r="N109" s="11"/>
      <c r="O109" s="21"/>
    </row>
    <row r="110" customFormat="false" ht="21.75" hidden="false" customHeight="true" outlineLevel="0" collapsed="false">
      <c r="A110" s="22"/>
      <c r="B110" s="5"/>
      <c r="C110" s="7"/>
      <c r="D110" s="23"/>
      <c r="E110" s="23"/>
      <c r="F110" s="23"/>
      <c r="G110" s="19" t="str">
        <f aca="false">IFERROR(F110/D110,"")</f>
        <v/>
      </c>
      <c r="H110" s="20" t="str">
        <f aca="false">IFERROR(C110/F110,"")</f>
        <v/>
      </c>
      <c r="I110" s="20" t="str">
        <f aca="false">IFERROR(C110/D110*1000,"")</f>
        <v/>
      </c>
      <c r="J110" s="5"/>
      <c r="K110" s="20" t="str">
        <f aca="false">IFERROR(C110/J110,"")</f>
        <v/>
      </c>
      <c r="L110" s="19" t="str">
        <f aca="false">IFERROR(J110/F110,"")</f>
        <v/>
      </c>
      <c r="M110" s="5"/>
      <c r="N110" s="5"/>
      <c r="O110" s="24"/>
    </row>
    <row r="111" customFormat="false" ht="21.75" hidden="false" customHeight="true" outlineLevel="0" collapsed="false">
      <c r="A111" s="17"/>
      <c r="B111" s="11"/>
      <c r="C111" s="12"/>
      <c r="D111" s="18"/>
      <c r="E111" s="18"/>
      <c r="F111" s="18"/>
      <c r="G111" s="19" t="str">
        <f aca="false">IFERROR(F111/D111,"")</f>
        <v/>
      </c>
      <c r="H111" s="20" t="str">
        <f aca="false">IFERROR(C111/F111,"")</f>
        <v/>
      </c>
      <c r="I111" s="20" t="str">
        <f aca="false">IFERROR(C111/D111*1000,"")</f>
        <v/>
      </c>
      <c r="J111" s="11"/>
      <c r="K111" s="20" t="str">
        <f aca="false">IFERROR(C111/J111,"")</f>
        <v/>
      </c>
      <c r="L111" s="19" t="str">
        <f aca="false">IFERROR(J111/F111,"")</f>
        <v/>
      </c>
      <c r="M111" s="11"/>
      <c r="N111" s="11"/>
      <c r="O111" s="21"/>
    </row>
    <row r="112" customFormat="false" ht="21.75" hidden="false" customHeight="true" outlineLevel="0" collapsed="false">
      <c r="A112" s="22"/>
      <c r="B112" s="5"/>
      <c r="C112" s="7"/>
      <c r="D112" s="23"/>
      <c r="E112" s="23"/>
      <c r="F112" s="23"/>
      <c r="G112" s="19" t="str">
        <f aca="false">IFERROR(F112/D112,"")</f>
        <v/>
      </c>
      <c r="H112" s="20" t="str">
        <f aca="false">IFERROR(C112/F112,"")</f>
        <v/>
      </c>
      <c r="I112" s="20" t="str">
        <f aca="false">IFERROR(C112/D112*1000,"")</f>
        <v/>
      </c>
      <c r="J112" s="5"/>
      <c r="K112" s="20" t="str">
        <f aca="false">IFERROR(C112/J112,"")</f>
        <v/>
      </c>
      <c r="L112" s="19" t="str">
        <f aca="false">IFERROR(J112/F112,"")</f>
        <v/>
      </c>
      <c r="M112" s="5"/>
      <c r="N112" s="5"/>
      <c r="O112" s="24"/>
    </row>
    <row r="113" customFormat="false" ht="21.75" hidden="false" customHeight="true" outlineLevel="0" collapsed="false">
      <c r="A113" s="17"/>
      <c r="B113" s="11"/>
      <c r="C113" s="12"/>
      <c r="D113" s="18"/>
      <c r="E113" s="18"/>
      <c r="F113" s="18"/>
      <c r="G113" s="19" t="str">
        <f aca="false">IFERROR(F113/D113,"")</f>
        <v/>
      </c>
      <c r="H113" s="20" t="str">
        <f aca="false">IFERROR(C113/F113,"")</f>
        <v/>
      </c>
      <c r="I113" s="20" t="str">
        <f aca="false">IFERROR(C113/D113*1000,"")</f>
        <v/>
      </c>
      <c r="J113" s="11"/>
      <c r="K113" s="20" t="str">
        <f aca="false">IFERROR(C113/J113,"")</f>
        <v/>
      </c>
      <c r="L113" s="19" t="str">
        <f aca="false">IFERROR(J113/F113,"")</f>
        <v/>
      </c>
      <c r="M113" s="11"/>
      <c r="N113" s="11"/>
      <c r="O113" s="21"/>
    </row>
    <row r="114" customFormat="false" ht="21.75" hidden="false" customHeight="true" outlineLevel="0" collapsed="false">
      <c r="A114" s="22"/>
      <c r="B114" s="5"/>
      <c r="C114" s="7"/>
      <c r="D114" s="23"/>
      <c r="E114" s="23"/>
      <c r="F114" s="23"/>
      <c r="G114" s="19" t="str">
        <f aca="false">IFERROR(F114/D114,"")</f>
        <v/>
      </c>
      <c r="H114" s="20" t="str">
        <f aca="false">IFERROR(C114/F114,"")</f>
        <v/>
      </c>
      <c r="I114" s="20" t="str">
        <f aca="false">IFERROR(C114/D114*1000,"")</f>
        <v/>
      </c>
      <c r="J114" s="5"/>
      <c r="K114" s="20" t="str">
        <f aca="false">IFERROR(C114/J114,"")</f>
        <v/>
      </c>
      <c r="L114" s="19" t="str">
        <f aca="false">IFERROR(J114/F114,"")</f>
        <v/>
      </c>
      <c r="M114" s="5"/>
      <c r="N114" s="5"/>
      <c r="O114" s="24"/>
    </row>
    <row r="115" customFormat="false" ht="21.75" hidden="false" customHeight="true" outlineLevel="0" collapsed="false">
      <c r="A115" s="17"/>
      <c r="B115" s="11"/>
      <c r="C115" s="12"/>
      <c r="D115" s="18"/>
      <c r="E115" s="18"/>
      <c r="F115" s="18"/>
      <c r="G115" s="19" t="str">
        <f aca="false">IFERROR(F115/D115,"")</f>
        <v/>
      </c>
      <c r="H115" s="20" t="str">
        <f aca="false">IFERROR(C115/F115,"")</f>
        <v/>
      </c>
      <c r="I115" s="20" t="str">
        <f aca="false">IFERROR(C115/D115*1000,"")</f>
        <v/>
      </c>
      <c r="J115" s="11"/>
      <c r="K115" s="20" t="str">
        <f aca="false">IFERROR(C115/J115,"")</f>
        <v/>
      </c>
      <c r="L115" s="19" t="str">
        <f aca="false">IFERROR(J115/F115,"")</f>
        <v/>
      </c>
      <c r="M115" s="11"/>
      <c r="N115" s="11"/>
      <c r="O115" s="21"/>
    </row>
    <row r="116" customFormat="false" ht="21.75" hidden="false" customHeight="true" outlineLevel="0" collapsed="false">
      <c r="A116" s="22"/>
      <c r="B116" s="5"/>
      <c r="C116" s="7"/>
      <c r="D116" s="23"/>
      <c r="E116" s="23"/>
      <c r="F116" s="23"/>
      <c r="G116" s="19" t="str">
        <f aca="false">IFERROR(F116/D116,"")</f>
        <v/>
      </c>
      <c r="H116" s="20" t="str">
        <f aca="false">IFERROR(C116/F116,"")</f>
        <v/>
      </c>
      <c r="I116" s="20" t="str">
        <f aca="false">IFERROR(C116/D116*1000,"")</f>
        <v/>
      </c>
      <c r="J116" s="5"/>
      <c r="K116" s="20" t="str">
        <f aca="false">IFERROR(C116/J116,"")</f>
        <v/>
      </c>
      <c r="L116" s="19" t="str">
        <f aca="false">IFERROR(J116/F116,"")</f>
        <v/>
      </c>
      <c r="M116" s="5"/>
      <c r="N116" s="5"/>
      <c r="O116" s="24"/>
    </row>
    <row r="117" customFormat="false" ht="21.75" hidden="false" customHeight="true" outlineLevel="0" collapsed="false">
      <c r="A117" s="17"/>
      <c r="B117" s="11"/>
      <c r="C117" s="12"/>
      <c r="D117" s="18"/>
      <c r="E117" s="18"/>
      <c r="F117" s="18"/>
      <c r="G117" s="19" t="str">
        <f aca="false">IFERROR(F117/D117,"")</f>
        <v/>
      </c>
      <c r="H117" s="20" t="str">
        <f aca="false">IFERROR(C117/F117,"")</f>
        <v/>
      </c>
      <c r="I117" s="20" t="str">
        <f aca="false">IFERROR(C117/D117*1000,"")</f>
        <v/>
      </c>
      <c r="J117" s="11"/>
      <c r="K117" s="20" t="str">
        <f aca="false">IFERROR(C117/J117,"")</f>
        <v/>
      </c>
      <c r="L117" s="19" t="str">
        <f aca="false">IFERROR(J117/F117,"")</f>
        <v/>
      </c>
      <c r="M117" s="11"/>
      <c r="N117" s="11"/>
      <c r="O117" s="21"/>
    </row>
    <row r="118" customFormat="false" ht="21.75" hidden="false" customHeight="true" outlineLevel="0" collapsed="false">
      <c r="A118" s="22"/>
      <c r="B118" s="5"/>
      <c r="C118" s="7"/>
      <c r="D118" s="23"/>
      <c r="E118" s="23"/>
      <c r="F118" s="23"/>
      <c r="G118" s="19" t="str">
        <f aca="false">IFERROR(F118/D118,"")</f>
        <v/>
      </c>
      <c r="H118" s="20" t="str">
        <f aca="false">IFERROR(C118/F118,"")</f>
        <v/>
      </c>
      <c r="I118" s="20" t="str">
        <f aca="false">IFERROR(C118/D118*1000,"")</f>
        <v/>
      </c>
      <c r="J118" s="5"/>
      <c r="K118" s="20" t="str">
        <f aca="false">IFERROR(C118/J118,"")</f>
        <v/>
      </c>
      <c r="L118" s="19" t="str">
        <f aca="false">IFERROR(J118/F118,"")</f>
        <v/>
      </c>
      <c r="M118" s="5"/>
      <c r="N118" s="5"/>
      <c r="O118" s="24"/>
    </row>
    <row r="119" customFormat="false" ht="21.75" hidden="false" customHeight="true" outlineLevel="0" collapsed="false">
      <c r="A119" s="17"/>
      <c r="B119" s="11"/>
      <c r="C119" s="12"/>
      <c r="D119" s="18"/>
      <c r="E119" s="18"/>
      <c r="F119" s="18"/>
      <c r="G119" s="19" t="str">
        <f aca="false">IFERROR(F119/D119,"")</f>
        <v/>
      </c>
      <c r="H119" s="20" t="str">
        <f aca="false">IFERROR(C119/F119,"")</f>
        <v/>
      </c>
      <c r="I119" s="20" t="str">
        <f aca="false">IFERROR(C119/D119*1000,"")</f>
        <v/>
      </c>
      <c r="J119" s="11"/>
      <c r="K119" s="20" t="str">
        <f aca="false">IFERROR(C119/J119,"")</f>
        <v/>
      </c>
      <c r="L119" s="19" t="str">
        <f aca="false">IFERROR(J119/F119,"")</f>
        <v/>
      </c>
      <c r="M119" s="11"/>
      <c r="N119" s="11"/>
      <c r="O119" s="21"/>
    </row>
    <row r="120" customFormat="false" ht="21.75" hidden="false" customHeight="true" outlineLevel="0" collapsed="false">
      <c r="A120" s="22"/>
      <c r="B120" s="5"/>
      <c r="C120" s="7"/>
      <c r="D120" s="23"/>
      <c r="E120" s="23"/>
      <c r="F120" s="23"/>
      <c r="G120" s="19" t="str">
        <f aca="false">IFERROR(F120/D120,"")</f>
        <v/>
      </c>
      <c r="H120" s="20" t="str">
        <f aca="false">IFERROR(C120/F120,"")</f>
        <v/>
      </c>
      <c r="I120" s="20" t="str">
        <f aca="false">IFERROR(C120/D120*1000,"")</f>
        <v/>
      </c>
      <c r="J120" s="5"/>
      <c r="K120" s="20" t="str">
        <f aca="false">IFERROR(C120/J120,"")</f>
        <v/>
      </c>
      <c r="L120" s="19" t="str">
        <f aca="false">IFERROR(J120/F120,"")</f>
        <v/>
      </c>
      <c r="M120" s="5"/>
      <c r="N120" s="5"/>
      <c r="O120" s="24"/>
    </row>
    <row r="121" customFormat="false" ht="21.75" hidden="false" customHeight="true" outlineLevel="0" collapsed="false">
      <c r="A121" s="17"/>
      <c r="B121" s="11"/>
      <c r="C121" s="12"/>
      <c r="D121" s="18"/>
      <c r="E121" s="18"/>
      <c r="F121" s="18"/>
      <c r="G121" s="19" t="str">
        <f aca="false">IFERROR(F121/D121,"")</f>
        <v/>
      </c>
      <c r="H121" s="20" t="str">
        <f aca="false">IFERROR(C121/F121,"")</f>
        <v/>
      </c>
      <c r="I121" s="20" t="str">
        <f aca="false">IFERROR(C121/D121*1000,"")</f>
        <v/>
      </c>
      <c r="J121" s="11"/>
      <c r="K121" s="20" t="str">
        <f aca="false">IFERROR(C121/J121,"")</f>
        <v/>
      </c>
      <c r="L121" s="19" t="str">
        <f aca="false">IFERROR(J121/F121,"")</f>
        <v/>
      </c>
      <c r="M121" s="11"/>
      <c r="N121" s="11"/>
      <c r="O121" s="21"/>
    </row>
    <row r="122" customFormat="false" ht="21.75" hidden="false" customHeight="true" outlineLevel="0" collapsed="false">
      <c r="A122" s="22"/>
      <c r="B122" s="5"/>
      <c r="C122" s="7"/>
      <c r="D122" s="23"/>
      <c r="E122" s="23"/>
      <c r="F122" s="23"/>
      <c r="G122" s="19" t="str">
        <f aca="false">IFERROR(F122/D122,"")</f>
        <v/>
      </c>
      <c r="H122" s="20" t="str">
        <f aca="false">IFERROR(C122/F122,"")</f>
        <v/>
      </c>
      <c r="I122" s="20" t="str">
        <f aca="false">IFERROR(C122/D122*1000,"")</f>
        <v/>
      </c>
      <c r="J122" s="5"/>
      <c r="K122" s="20" t="str">
        <f aca="false">IFERROR(C122/J122,"")</f>
        <v/>
      </c>
      <c r="L122" s="19" t="str">
        <f aca="false">IFERROR(J122/F122,"")</f>
        <v/>
      </c>
      <c r="M122" s="5"/>
      <c r="N122" s="5"/>
      <c r="O122" s="24"/>
    </row>
    <row r="123" customFormat="false" ht="21.75" hidden="false" customHeight="true" outlineLevel="0" collapsed="false">
      <c r="A123" s="17"/>
      <c r="B123" s="11"/>
      <c r="C123" s="12"/>
      <c r="D123" s="18"/>
      <c r="E123" s="18"/>
      <c r="F123" s="18"/>
      <c r="G123" s="19" t="str">
        <f aca="false">IFERROR(F123/D123,"")</f>
        <v/>
      </c>
      <c r="H123" s="20" t="str">
        <f aca="false">IFERROR(C123/F123,"")</f>
        <v/>
      </c>
      <c r="I123" s="20" t="str">
        <f aca="false">IFERROR(C123/D123*1000,"")</f>
        <v/>
      </c>
      <c r="J123" s="11"/>
      <c r="K123" s="20" t="str">
        <f aca="false">IFERROR(C123/J123,"")</f>
        <v/>
      </c>
      <c r="L123" s="19" t="str">
        <f aca="false">IFERROR(J123/F123,"")</f>
        <v/>
      </c>
      <c r="M123" s="11"/>
      <c r="N123" s="11"/>
      <c r="O123" s="21"/>
    </row>
    <row r="124" customFormat="false" ht="21.75" hidden="false" customHeight="true" outlineLevel="0" collapsed="false">
      <c r="A124" s="22"/>
      <c r="B124" s="5"/>
      <c r="C124" s="7"/>
      <c r="D124" s="23"/>
      <c r="E124" s="23"/>
      <c r="F124" s="23"/>
      <c r="G124" s="19" t="str">
        <f aca="false">IFERROR(F124/D124,"")</f>
        <v/>
      </c>
      <c r="H124" s="20" t="str">
        <f aca="false">IFERROR(C124/F124,"")</f>
        <v/>
      </c>
      <c r="I124" s="20" t="str">
        <f aca="false">IFERROR(C124/D124*1000,"")</f>
        <v/>
      </c>
      <c r="J124" s="5"/>
      <c r="K124" s="20" t="str">
        <f aca="false">IFERROR(C124/J124,"")</f>
        <v/>
      </c>
      <c r="L124" s="19" t="str">
        <f aca="false">IFERROR(J124/F124,"")</f>
        <v/>
      </c>
      <c r="M124" s="5"/>
      <c r="N124" s="5"/>
      <c r="O124" s="24"/>
    </row>
    <row r="125" customFormat="false" ht="21.75" hidden="false" customHeight="true" outlineLevel="0" collapsed="false">
      <c r="A125" s="17"/>
      <c r="B125" s="11"/>
      <c r="C125" s="12"/>
      <c r="D125" s="18"/>
      <c r="E125" s="18"/>
      <c r="F125" s="18"/>
      <c r="G125" s="19" t="str">
        <f aca="false">IFERROR(F125/D125,"")</f>
        <v/>
      </c>
      <c r="H125" s="20" t="str">
        <f aca="false">IFERROR(C125/F125,"")</f>
        <v/>
      </c>
      <c r="I125" s="20" t="str">
        <f aca="false">IFERROR(C125/D125*1000,"")</f>
        <v/>
      </c>
      <c r="J125" s="11"/>
      <c r="K125" s="20" t="str">
        <f aca="false">IFERROR(C125/J125,"")</f>
        <v/>
      </c>
      <c r="L125" s="19" t="str">
        <f aca="false">IFERROR(J125/F125,"")</f>
        <v/>
      </c>
      <c r="M125" s="11"/>
      <c r="N125" s="11"/>
      <c r="O125" s="21"/>
    </row>
    <row r="126" customFormat="false" ht="21.75" hidden="false" customHeight="true" outlineLevel="0" collapsed="false">
      <c r="A126" s="22"/>
      <c r="B126" s="5"/>
      <c r="C126" s="7"/>
      <c r="D126" s="23"/>
      <c r="E126" s="23"/>
      <c r="F126" s="23"/>
      <c r="G126" s="19" t="str">
        <f aca="false">IFERROR(F126/D126,"")</f>
        <v/>
      </c>
      <c r="H126" s="20" t="str">
        <f aca="false">IFERROR(C126/F126,"")</f>
        <v/>
      </c>
      <c r="I126" s="20" t="str">
        <f aca="false">IFERROR(C126/D126*1000,"")</f>
        <v/>
      </c>
      <c r="J126" s="5"/>
      <c r="K126" s="20" t="str">
        <f aca="false">IFERROR(C126/J126,"")</f>
        <v/>
      </c>
      <c r="L126" s="19" t="str">
        <f aca="false">IFERROR(J126/F126,"")</f>
        <v/>
      </c>
      <c r="M126" s="5"/>
      <c r="N126" s="5"/>
      <c r="O126" s="24"/>
    </row>
    <row r="127" customFormat="false" ht="21.75" hidden="false" customHeight="true" outlineLevel="0" collapsed="false">
      <c r="A127" s="17"/>
      <c r="B127" s="11"/>
      <c r="C127" s="12"/>
      <c r="D127" s="18"/>
      <c r="E127" s="18"/>
      <c r="F127" s="18"/>
      <c r="G127" s="19" t="str">
        <f aca="false">IFERROR(F127/D127,"")</f>
        <v/>
      </c>
      <c r="H127" s="20" t="str">
        <f aca="false">IFERROR(C127/F127,"")</f>
        <v/>
      </c>
      <c r="I127" s="20" t="str">
        <f aca="false">IFERROR(C127/D127*1000,"")</f>
        <v/>
      </c>
      <c r="J127" s="11"/>
      <c r="K127" s="20" t="str">
        <f aca="false">IFERROR(C127/J127,"")</f>
        <v/>
      </c>
      <c r="L127" s="19" t="str">
        <f aca="false">IFERROR(J127/F127,"")</f>
        <v/>
      </c>
      <c r="M127" s="11"/>
      <c r="N127" s="11"/>
      <c r="O127" s="21"/>
    </row>
    <row r="128" customFormat="false" ht="21.75" hidden="false" customHeight="true" outlineLevel="0" collapsed="false">
      <c r="A128" s="22"/>
      <c r="B128" s="5"/>
      <c r="C128" s="7"/>
      <c r="D128" s="23"/>
      <c r="E128" s="23"/>
      <c r="F128" s="23"/>
      <c r="G128" s="19" t="str">
        <f aca="false">IFERROR(F128/D128,"")</f>
        <v/>
      </c>
      <c r="H128" s="20" t="str">
        <f aca="false">IFERROR(C128/F128,"")</f>
        <v/>
      </c>
      <c r="I128" s="20" t="str">
        <f aca="false">IFERROR(C128/D128*1000,"")</f>
        <v/>
      </c>
      <c r="J128" s="5"/>
      <c r="K128" s="20" t="str">
        <f aca="false">IFERROR(C128/J128,"")</f>
        <v/>
      </c>
      <c r="L128" s="19" t="str">
        <f aca="false">IFERROR(J128/F128,"")</f>
        <v/>
      </c>
      <c r="M128" s="5"/>
      <c r="N128" s="5"/>
      <c r="O128" s="24"/>
    </row>
    <row r="129" customFormat="false" ht="21.75" hidden="false" customHeight="true" outlineLevel="0" collapsed="false">
      <c r="A129" s="17"/>
      <c r="B129" s="11"/>
      <c r="C129" s="12"/>
      <c r="D129" s="18"/>
      <c r="E129" s="18"/>
      <c r="F129" s="18"/>
      <c r="G129" s="19" t="str">
        <f aca="false">IFERROR(F129/D129,"")</f>
        <v/>
      </c>
      <c r="H129" s="20" t="str">
        <f aca="false">IFERROR(C129/F129,"")</f>
        <v/>
      </c>
      <c r="I129" s="20" t="str">
        <f aca="false">IFERROR(C129/D129*1000,"")</f>
        <v/>
      </c>
      <c r="J129" s="11"/>
      <c r="K129" s="20" t="str">
        <f aca="false">IFERROR(C129/J129,"")</f>
        <v/>
      </c>
      <c r="L129" s="19" t="str">
        <f aca="false">IFERROR(J129/F129,"")</f>
        <v/>
      </c>
      <c r="M129" s="11"/>
      <c r="N129" s="11"/>
      <c r="O129" s="21"/>
    </row>
    <row r="130" customFormat="false" ht="21.75" hidden="false" customHeight="true" outlineLevel="0" collapsed="false">
      <c r="A130" s="22"/>
      <c r="B130" s="5"/>
      <c r="C130" s="7"/>
      <c r="D130" s="23"/>
      <c r="E130" s="23"/>
      <c r="F130" s="23"/>
      <c r="G130" s="19" t="str">
        <f aca="false">IFERROR(F130/D130,"")</f>
        <v/>
      </c>
      <c r="H130" s="20" t="str">
        <f aca="false">IFERROR(C130/F130,"")</f>
        <v/>
      </c>
      <c r="I130" s="20" t="str">
        <f aca="false">IFERROR(C130/D130*1000,"")</f>
        <v/>
      </c>
      <c r="J130" s="5"/>
      <c r="K130" s="20" t="str">
        <f aca="false">IFERROR(C130/J130,"")</f>
        <v/>
      </c>
      <c r="L130" s="19" t="str">
        <f aca="false">IFERROR(J130/F130,"")</f>
        <v/>
      </c>
      <c r="M130" s="5"/>
      <c r="N130" s="5"/>
      <c r="O130" s="24"/>
    </row>
    <row r="131" customFormat="false" ht="21.75" hidden="false" customHeight="true" outlineLevel="0" collapsed="false">
      <c r="A131" s="17"/>
      <c r="B131" s="11"/>
      <c r="C131" s="12"/>
      <c r="D131" s="18"/>
      <c r="E131" s="18"/>
      <c r="F131" s="18"/>
      <c r="G131" s="19" t="str">
        <f aca="false">IFERROR(F131/D131,"")</f>
        <v/>
      </c>
      <c r="H131" s="20" t="str">
        <f aca="false">IFERROR(C131/F131,"")</f>
        <v/>
      </c>
      <c r="I131" s="20" t="str">
        <f aca="false">IFERROR(C131/D131*1000,"")</f>
        <v/>
      </c>
      <c r="J131" s="11"/>
      <c r="K131" s="20" t="str">
        <f aca="false">IFERROR(C131/J131,"")</f>
        <v/>
      </c>
      <c r="L131" s="19" t="str">
        <f aca="false">IFERROR(J131/F131,"")</f>
        <v/>
      </c>
      <c r="M131" s="11"/>
      <c r="N131" s="11"/>
      <c r="O131" s="21"/>
    </row>
    <row r="132" customFormat="false" ht="21.75" hidden="false" customHeight="true" outlineLevel="0" collapsed="false">
      <c r="A132" s="22"/>
      <c r="B132" s="5"/>
      <c r="C132" s="7"/>
      <c r="D132" s="23"/>
      <c r="E132" s="23"/>
      <c r="F132" s="23"/>
      <c r="G132" s="19" t="str">
        <f aca="false">IFERROR(F132/D132,"")</f>
        <v/>
      </c>
      <c r="H132" s="20" t="str">
        <f aca="false">IFERROR(C132/F132,"")</f>
        <v/>
      </c>
      <c r="I132" s="20" t="str">
        <f aca="false">IFERROR(C132/D132*1000,"")</f>
        <v/>
      </c>
      <c r="J132" s="5"/>
      <c r="K132" s="20" t="str">
        <f aca="false">IFERROR(C132/J132,"")</f>
        <v/>
      </c>
      <c r="L132" s="19" t="str">
        <f aca="false">IFERROR(J132/F132,"")</f>
        <v/>
      </c>
      <c r="M132" s="5"/>
      <c r="N132" s="5"/>
      <c r="O132" s="24"/>
    </row>
    <row r="133" customFormat="false" ht="21.75" hidden="false" customHeight="true" outlineLevel="0" collapsed="false">
      <c r="A133" s="17"/>
      <c r="B133" s="11"/>
      <c r="C133" s="12"/>
      <c r="D133" s="18"/>
      <c r="E133" s="18"/>
      <c r="F133" s="18"/>
      <c r="G133" s="19" t="str">
        <f aca="false">IFERROR(F133/D133,"")</f>
        <v/>
      </c>
      <c r="H133" s="20" t="str">
        <f aca="false">IFERROR(C133/F133,"")</f>
        <v/>
      </c>
      <c r="I133" s="20" t="str">
        <f aca="false">IFERROR(C133/D133*1000,"")</f>
        <v/>
      </c>
      <c r="J133" s="11"/>
      <c r="K133" s="20" t="str">
        <f aca="false">IFERROR(C133/J133,"")</f>
        <v/>
      </c>
      <c r="L133" s="19" t="str">
        <f aca="false">IFERROR(J133/F133,"")</f>
        <v/>
      </c>
      <c r="M133" s="11"/>
      <c r="N133" s="11"/>
      <c r="O133" s="21"/>
    </row>
    <row r="134" customFormat="false" ht="21.75" hidden="false" customHeight="true" outlineLevel="0" collapsed="false">
      <c r="A134" s="22"/>
      <c r="B134" s="5"/>
      <c r="C134" s="7"/>
      <c r="D134" s="23"/>
      <c r="E134" s="23"/>
      <c r="F134" s="23"/>
      <c r="G134" s="19" t="str">
        <f aca="false">IFERROR(F134/D134,"")</f>
        <v/>
      </c>
      <c r="H134" s="20" t="str">
        <f aca="false">IFERROR(C134/F134,"")</f>
        <v/>
      </c>
      <c r="I134" s="20" t="str">
        <f aca="false">IFERROR(C134/D134*1000,"")</f>
        <v/>
      </c>
      <c r="J134" s="5"/>
      <c r="K134" s="20" t="str">
        <f aca="false">IFERROR(C134/J134,"")</f>
        <v/>
      </c>
      <c r="L134" s="19" t="str">
        <f aca="false">IFERROR(J134/F134,"")</f>
        <v/>
      </c>
      <c r="M134" s="5"/>
      <c r="N134" s="5"/>
      <c r="O134" s="24"/>
    </row>
    <row r="135" customFormat="false" ht="21.75" hidden="false" customHeight="true" outlineLevel="0" collapsed="false">
      <c r="A135" s="17"/>
      <c r="B135" s="11"/>
      <c r="C135" s="12"/>
      <c r="D135" s="18"/>
      <c r="E135" s="18"/>
      <c r="F135" s="18"/>
      <c r="G135" s="19" t="str">
        <f aca="false">IFERROR(F135/D135,"")</f>
        <v/>
      </c>
      <c r="H135" s="20" t="str">
        <f aca="false">IFERROR(C135/F135,"")</f>
        <v/>
      </c>
      <c r="I135" s="20" t="str">
        <f aca="false">IFERROR(C135/D135*1000,"")</f>
        <v/>
      </c>
      <c r="J135" s="11"/>
      <c r="K135" s="20" t="str">
        <f aca="false">IFERROR(C135/J135,"")</f>
        <v/>
      </c>
      <c r="L135" s="19" t="str">
        <f aca="false">IFERROR(J135/F135,"")</f>
        <v/>
      </c>
      <c r="M135" s="11"/>
      <c r="N135" s="11"/>
      <c r="O135" s="21"/>
    </row>
    <row r="136" customFormat="false" ht="21.75" hidden="false" customHeight="true" outlineLevel="0" collapsed="false">
      <c r="A136" s="22"/>
      <c r="B136" s="5"/>
      <c r="C136" s="7"/>
      <c r="D136" s="23"/>
      <c r="E136" s="23"/>
      <c r="F136" s="23"/>
      <c r="G136" s="19" t="str">
        <f aca="false">IFERROR(F136/D136,"")</f>
        <v/>
      </c>
      <c r="H136" s="20" t="str">
        <f aca="false">IFERROR(C136/F136,"")</f>
        <v/>
      </c>
      <c r="I136" s="20" t="str">
        <f aca="false">IFERROR(C136/D136*1000,"")</f>
        <v/>
      </c>
      <c r="J136" s="5"/>
      <c r="K136" s="20" t="str">
        <f aca="false">IFERROR(C136/J136,"")</f>
        <v/>
      </c>
      <c r="L136" s="19" t="str">
        <f aca="false">IFERROR(J136/F136,"")</f>
        <v/>
      </c>
      <c r="M136" s="5"/>
      <c r="N136" s="5"/>
      <c r="O136" s="24"/>
    </row>
    <row r="137" customFormat="false" ht="21.75" hidden="false" customHeight="true" outlineLevel="0" collapsed="false">
      <c r="A137" s="17"/>
      <c r="B137" s="11"/>
      <c r="C137" s="12"/>
      <c r="D137" s="18"/>
      <c r="E137" s="18"/>
      <c r="F137" s="18"/>
      <c r="G137" s="19" t="str">
        <f aca="false">IFERROR(F137/D137,"")</f>
        <v/>
      </c>
      <c r="H137" s="20" t="str">
        <f aca="false">IFERROR(C137/F137,"")</f>
        <v/>
      </c>
      <c r="I137" s="20" t="str">
        <f aca="false">IFERROR(C137/D137*1000,"")</f>
        <v/>
      </c>
      <c r="J137" s="11"/>
      <c r="K137" s="20" t="str">
        <f aca="false">IFERROR(C137/J137,"")</f>
        <v/>
      </c>
      <c r="L137" s="19" t="str">
        <f aca="false">IFERROR(J137/F137,"")</f>
        <v/>
      </c>
      <c r="M137" s="11"/>
      <c r="N137" s="11"/>
      <c r="O137" s="21"/>
    </row>
    <row r="138" customFormat="false" ht="21.75" hidden="false" customHeight="true" outlineLevel="0" collapsed="false">
      <c r="A138" s="22"/>
      <c r="B138" s="5"/>
      <c r="C138" s="7"/>
      <c r="D138" s="23"/>
      <c r="E138" s="23"/>
      <c r="F138" s="23"/>
      <c r="G138" s="19" t="str">
        <f aca="false">IFERROR(F138/D138,"")</f>
        <v/>
      </c>
      <c r="H138" s="20" t="str">
        <f aca="false">IFERROR(C138/F138,"")</f>
        <v/>
      </c>
      <c r="I138" s="20" t="str">
        <f aca="false">IFERROR(C138/D138*1000,"")</f>
        <v/>
      </c>
      <c r="J138" s="5"/>
      <c r="K138" s="20" t="str">
        <f aca="false">IFERROR(C138/J138,"")</f>
        <v/>
      </c>
      <c r="L138" s="19" t="str">
        <f aca="false">IFERROR(J138/F138,"")</f>
        <v/>
      </c>
      <c r="M138" s="5"/>
      <c r="N138" s="5"/>
      <c r="O138" s="24"/>
    </row>
    <row r="139" customFormat="false" ht="21.75" hidden="false" customHeight="true" outlineLevel="0" collapsed="false">
      <c r="A139" s="17"/>
      <c r="B139" s="11"/>
      <c r="C139" s="12"/>
      <c r="D139" s="18"/>
      <c r="E139" s="18"/>
      <c r="F139" s="18"/>
      <c r="G139" s="19" t="str">
        <f aca="false">IFERROR(F139/D139,"")</f>
        <v/>
      </c>
      <c r="H139" s="20" t="str">
        <f aca="false">IFERROR(C139/F139,"")</f>
        <v/>
      </c>
      <c r="I139" s="20" t="str">
        <f aca="false">IFERROR(C139/D139*1000,"")</f>
        <v/>
      </c>
      <c r="J139" s="11"/>
      <c r="K139" s="20" t="str">
        <f aca="false">IFERROR(C139/J139,"")</f>
        <v/>
      </c>
      <c r="L139" s="19" t="str">
        <f aca="false">IFERROR(J139/F139,"")</f>
        <v/>
      </c>
      <c r="M139" s="11"/>
      <c r="N139" s="11"/>
      <c r="O139" s="21"/>
    </row>
    <row r="140" customFormat="false" ht="21.75" hidden="false" customHeight="true" outlineLevel="0" collapsed="false">
      <c r="A140" s="22"/>
      <c r="B140" s="5"/>
      <c r="C140" s="7"/>
      <c r="D140" s="23"/>
      <c r="E140" s="23"/>
      <c r="F140" s="23"/>
      <c r="G140" s="19" t="str">
        <f aca="false">IFERROR(F140/D140,"")</f>
        <v/>
      </c>
      <c r="H140" s="20" t="str">
        <f aca="false">IFERROR(C140/F140,"")</f>
        <v/>
      </c>
      <c r="I140" s="20" t="str">
        <f aca="false">IFERROR(C140/D140*1000,"")</f>
        <v/>
      </c>
      <c r="J140" s="5"/>
      <c r="K140" s="20" t="str">
        <f aca="false">IFERROR(C140/J140,"")</f>
        <v/>
      </c>
      <c r="L140" s="19" t="str">
        <f aca="false">IFERROR(J140/F140,"")</f>
        <v/>
      </c>
      <c r="M140" s="5"/>
      <c r="N140" s="5"/>
      <c r="O140" s="24"/>
    </row>
    <row r="141" customFormat="false" ht="21.75" hidden="false" customHeight="true" outlineLevel="0" collapsed="false">
      <c r="A141" s="17"/>
      <c r="B141" s="11"/>
      <c r="C141" s="12"/>
      <c r="D141" s="18"/>
      <c r="E141" s="18"/>
      <c r="F141" s="18"/>
      <c r="G141" s="19" t="str">
        <f aca="false">IFERROR(F141/D141,"")</f>
        <v/>
      </c>
      <c r="H141" s="20" t="str">
        <f aca="false">IFERROR(C141/F141,"")</f>
        <v/>
      </c>
      <c r="I141" s="20" t="str">
        <f aca="false">IFERROR(C141/D141*1000,"")</f>
        <v/>
      </c>
      <c r="J141" s="11"/>
      <c r="K141" s="20" t="str">
        <f aca="false">IFERROR(C141/J141,"")</f>
        <v/>
      </c>
      <c r="L141" s="19" t="str">
        <f aca="false">IFERROR(J141/F141,"")</f>
        <v/>
      </c>
      <c r="M141" s="11"/>
      <c r="N141" s="11"/>
      <c r="O141" s="21"/>
    </row>
    <row r="142" customFormat="false" ht="21.75" hidden="false" customHeight="true" outlineLevel="0" collapsed="false">
      <c r="A142" s="22"/>
      <c r="B142" s="5"/>
      <c r="C142" s="7"/>
      <c r="D142" s="23"/>
      <c r="E142" s="23"/>
      <c r="F142" s="23"/>
      <c r="G142" s="19" t="str">
        <f aca="false">IFERROR(F142/D142,"")</f>
        <v/>
      </c>
      <c r="H142" s="20" t="str">
        <f aca="false">IFERROR(C142/F142,"")</f>
        <v/>
      </c>
      <c r="I142" s="20" t="str">
        <f aca="false">IFERROR(C142/D142*1000,"")</f>
        <v/>
      </c>
      <c r="J142" s="5"/>
      <c r="K142" s="20" t="str">
        <f aca="false">IFERROR(C142/J142,"")</f>
        <v/>
      </c>
      <c r="L142" s="19" t="str">
        <f aca="false">IFERROR(J142/F142,"")</f>
        <v/>
      </c>
      <c r="M142" s="5"/>
      <c r="N142" s="5"/>
      <c r="O142" s="24"/>
    </row>
    <row r="143" customFormat="false" ht="21.75" hidden="false" customHeight="true" outlineLevel="0" collapsed="false">
      <c r="A143" s="17"/>
      <c r="B143" s="11"/>
      <c r="C143" s="12"/>
      <c r="D143" s="18"/>
      <c r="E143" s="18"/>
      <c r="F143" s="18"/>
      <c r="G143" s="19" t="str">
        <f aca="false">IFERROR(F143/D143,"")</f>
        <v/>
      </c>
      <c r="H143" s="20" t="str">
        <f aca="false">IFERROR(C143/F143,"")</f>
        <v/>
      </c>
      <c r="I143" s="20" t="str">
        <f aca="false">IFERROR(C143/D143*1000,"")</f>
        <v/>
      </c>
      <c r="J143" s="11"/>
      <c r="K143" s="20" t="str">
        <f aca="false">IFERROR(C143/J143,"")</f>
        <v/>
      </c>
      <c r="L143" s="19" t="str">
        <f aca="false">IFERROR(J143/F143,"")</f>
        <v/>
      </c>
      <c r="M143" s="11"/>
      <c r="N143" s="11"/>
      <c r="O143" s="21"/>
    </row>
    <row r="144" customFormat="false" ht="21.75" hidden="false" customHeight="true" outlineLevel="0" collapsed="false">
      <c r="A144" s="22"/>
      <c r="B144" s="5"/>
      <c r="C144" s="7"/>
      <c r="D144" s="23"/>
      <c r="E144" s="23"/>
      <c r="F144" s="23"/>
      <c r="G144" s="19" t="str">
        <f aca="false">IFERROR(F144/D144,"")</f>
        <v/>
      </c>
      <c r="H144" s="20" t="str">
        <f aca="false">IFERROR(C144/F144,"")</f>
        <v/>
      </c>
      <c r="I144" s="20" t="str">
        <f aca="false">IFERROR(C144/D144*1000,"")</f>
        <v/>
      </c>
      <c r="J144" s="5"/>
      <c r="K144" s="20" t="str">
        <f aca="false">IFERROR(C144/J144,"")</f>
        <v/>
      </c>
      <c r="L144" s="19" t="str">
        <f aca="false">IFERROR(J144/F144,"")</f>
        <v/>
      </c>
      <c r="M144" s="5"/>
      <c r="N144" s="5"/>
      <c r="O144" s="24"/>
    </row>
    <row r="145" customFormat="false" ht="21.75" hidden="false" customHeight="true" outlineLevel="0" collapsed="false">
      <c r="A145" s="17"/>
      <c r="B145" s="11"/>
      <c r="C145" s="12"/>
      <c r="D145" s="18"/>
      <c r="E145" s="18"/>
      <c r="F145" s="18"/>
      <c r="G145" s="19" t="str">
        <f aca="false">IFERROR(F145/D145,"")</f>
        <v/>
      </c>
      <c r="H145" s="20" t="str">
        <f aca="false">IFERROR(C145/F145,"")</f>
        <v/>
      </c>
      <c r="I145" s="20" t="str">
        <f aca="false">IFERROR(C145/D145*1000,"")</f>
        <v/>
      </c>
      <c r="J145" s="11"/>
      <c r="K145" s="20" t="str">
        <f aca="false">IFERROR(C145/J145,"")</f>
        <v/>
      </c>
      <c r="L145" s="19" t="str">
        <f aca="false">IFERROR(J145/F145,"")</f>
        <v/>
      </c>
      <c r="M145" s="11"/>
      <c r="N145" s="11"/>
      <c r="O145" s="21"/>
    </row>
    <row r="146" customFormat="false" ht="21.75" hidden="false" customHeight="true" outlineLevel="0" collapsed="false">
      <c r="A146" s="22"/>
      <c r="B146" s="5"/>
      <c r="C146" s="7"/>
      <c r="D146" s="23"/>
      <c r="E146" s="23"/>
      <c r="F146" s="23"/>
      <c r="G146" s="19" t="str">
        <f aca="false">IFERROR(F146/D146,"")</f>
        <v/>
      </c>
      <c r="H146" s="20" t="str">
        <f aca="false">IFERROR(C146/F146,"")</f>
        <v/>
      </c>
      <c r="I146" s="20" t="str">
        <f aca="false">IFERROR(C146/D146*1000,"")</f>
        <v/>
      </c>
      <c r="J146" s="5"/>
      <c r="K146" s="20" t="str">
        <f aca="false">IFERROR(C146/J146,"")</f>
        <v/>
      </c>
      <c r="L146" s="19" t="str">
        <f aca="false">IFERROR(J146/F146,"")</f>
        <v/>
      </c>
      <c r="M146" s="5"/>
      <c r="N146" s="5"/>
      <c r="O146" s="24"/>
    </row>
    <row r="147" customFormat="false" ht="21.75" hidden="false" customHeight="true" outlineLevel="0" collapsed="false">
      <c r="A147" s="17"/>
      <c r="B147" s="11"/>
      <c r="C147" s="12"/>
      <c r="D147" s="18"/>
      <c r="E147" s="18"/>
      <c r="F147" s="18"/>
      <c r="G147" s="19" t="str">
        <f aca="false">IFERROR(F147/D147,"")</f>
        <v/>
      </c>
      <c r="H147" s="20" t="str">
        <f aca="false">IFERROR(C147/F147,"")</f>
        <v/>
      </c>
      <c r="I147" s="20" t="str">
        <f aca="false">IFERROR(C147/D147*1000,"")</f>
        <v/>
      </c>
      <c r="J147" s="11"/>
      <c r="K147" s="20" t="str">
        <f aca="false">IFERROR(C147/J147,"")</f>
        <v/>
      </c>
      <c r="L147" s="19" t="str">
        <f aca="false">IFERROR(J147/F147,"")</f>
        <v/>
      </c>
      <c r="M147" s="11"/>
      <c r="N147" s="11"/>
      <c r="O147" s="21"/>
    </row>
    <row r="148" customFormat="false" ht="21.75" hidden="false" customHeight="true" outlineLevel="0" collapsed="false">
      <c r="A148" s="22"/>
      <c r="B148" s="5"/>
      <c r="C148" s="7"/>
      <c r="D148" s="23"/>
      <c r="E148" s="23"/>
      <c r="F148" s="23"/>
      <c r="G148" s="19" t="str">
        <f aca="false">IFERROR(F148/D148,"")</f>
        <v/>
      </c>
      <c r="H148" s="20" t="str">
        <f aca="false">IFERROR(C148/F148,"")</f>
        <v/>
      </c>
      <c r="I148" s="20" t="str">
        <f aca="false">IFERROR(C148/D148*1000,"")</f>
        <v/>
      </c>
      <c r="J148" s="5"/>
      <c r="K148" s="20" t="str">
        <f aca="false">IFERROR(C148/J148,"")</f>
        <v/>
      </c>
      <c r="L148" s="19" t="str">
        <f aca="false">IFERROR(J148/F148,"")</f>
        <v/>
      </c>
      <c r="M148" s="5"/>
      <c r="N148" s="5"/>
      <c r="O148" s="24"/>
    </row>
    <row r="149" customFormat="false" ht="21.75" hidden="false" customHeight="true" outlineLevel="0" collapsed="false">
      <c r="A149" s="17"/>
      <c r="B149" s="11"/>
      <c r="C149" s="12"/>
      <c r="D149" s="18"/>
      <c r="E149" s="18"/>
      <c r="F149" s="18"/>
      <c r="G149" s="19" t="str">
        <f aca="false">IFERROR(F149/D149,"")</f>
        <v/>
      </c>
      <c r="H149" s="20" t="str">
        <f aca="false">IFERROR(C149/F149,"")</f>
        <v/>
      </c>
      <c r="I149" s="20" t="str">
        <f aca="false">IFERROR(C149/D149*1000,"")</f>
        <v/>
      </c>
      <c r="J149" s="11"/>
      <c r="K149" s="20" t="str">
        <f aca="false">IFERROR(C149/J149,"")</f>
        <v/>
      </c>
      <c r="L149" s="19" t="str">
        <f aca="false">IFERROR(J149/F149,"")</f>
        <v/>
      </c>
      <c r="M149" s="11"/>
      <c r="N149" s="11"/>
      <c r="O149" s="21"/>
    </row>
    <row r="150" customFormat="false" ht="21.75" hidden="false" customHeight="true" outlineLevel="0" collapsed="false">
      <c r="A150" s="22"/>
      <c r="B150" s="5"/>
      <c r="C150" s="7"/>
      <c r="D150" s="23"/>
      <c r="E150" s="23"/>
      <c r="F150" s="23"/>
      <c r="G150" s="19" t="str">
        <f aca="false">IFERROR(F150/D150,"")</f>
        <v/>
      </c>
      <c r="H150" s="20" t="str">
        <f aca="false">IFERROR(C150/F150,"")</f>
        <v/>
      </c>
      <c r="I150" s="20" t="str">
        <f aca="false">IFERROR(C150/D150*1000,"")</f>
        <v/>
      </c>
      <c r="J150" s="5"/>
      <c r="K150" s="20" t="str">
        <f aca="false">IFERROR(C150/J150,"")</f>
        <v/>
      </c>
      <c r="L150" s="19" t="str">
        <f aca="false">IFERROR(J150/F150,"")</f>
        <v/>
      </c>
      <c r="M150" s="5"/>
      <c r="N150" s="5"/>
      <c r="O150" s="24"/>
    </row>
    <row r="151" customFormat="false" ht="21.75" hidden="false" customHeight="true" outlineLevel="0" collapsed="false">
      <c r="A151" s="17"/>
      <c r="B151" s="11"/>
      <c r="C151" s="12"/>
      <c r="D151" s="18"/>
      <c r="E151" s="18"/>
      <c r="F151" s="18"/>
      <c r="G151" s="19" t="str">
        <f aca="false">IFERROR(F151/D151,"")</f>
        <v/>
      </c>
      <c r="H151" s="20" t="str">
        <f aca="false">IFERROR(C151/F151,"")</f>
        <v/>
      </c>
      <c r="I151" s="20" t="str">
        <f aca="false">IFERROR(C151/D151*1000,"")</f>
        <v/>
      </c>
      <c r="J151" s="11"/>
      <c r="K151" s="20" t="str">
        <f aca="false">IFERROR(C151/J151,"")</f>
        <v/>
      </c>
      <c r="L151" s="19" t="str">
        <f aca="false">IFERROR(J151/F151,"")</f>
        <v/>
      </c>
      <c r="M151" s="11"/>
      <c r="N151" s="11"/>
      <c r="O151" s="21"/>
    </row>
    <row r="152" customFormat="false" ht="21.75" hidden="false" customHeight="true" outlineLevel="0" collapsed="false">
      <c r="A152" s="22"/>
      <c r="B152" s="5"/>
      <c r="C152" s="7"/>
      <c r="D152" s="23"/>
      <c r="E152" s="23"/>
      <c r="F152" s="23"/>
      <c r="G152" s="19" t="str">
        <f aca="false">IFERROR(F152/D152,"")</f>
        <v/>
      </c>
      <c r="H152" s="20" t="str">
        <f aca="false">IFERROR(C152/F152,"")</f>
        <v/>
      </c>
      <c r="I152" s="20" t="str">
        <f aca="false">IFERROR(C152/D152*1000,"")</f>
        <v/>
      </c>
      <c r="J152" s="5"/>
      <c r="K152" s="20" t="str">
        <f aca="false">IFERROR(C152/J152,"")</f>
        <v/>
      </c>
      <c r="L152" s="19" t="str">
        <f aca="false">IFERROR(J152/F152,"")</f>
        <v/>
      </c>
      <c r="M152" s="5"/>
      <c r="N152" s="5"/>
      <c r="O152" s="24"/>
    </row>
    <row r="153" customFormat="false" ht="21.75" hidden="false" customHeight="true" outlineLevel="0" collapsed="false">
      <c r="A153" s="17"/>
      <c r="B153" s="11"/>
      <c r="C153" s="12"/>
      <c r="D153" s="18"/>
      <c r="E153" s="18"/>
      <c r="F153" s="18"/>
      <c r="G153" s="19" t="str">
        <f aca="false">IFERROR(F153/D153,"")</f>
        <v/>
      </c>
      <c r="H153" s="20" t="str">
        <f aca="false">IFERROR(C153/F153,"")</f>
        <v/>
      </c>
      <c r="I153" s="20" t="str">
        <f aca="false">IFERROR(C153/D153*1000,"")</f>
        <v/>
      </c>
      <c r="J153" s="11"/>
      <c r="K153" s="20" t="str">
        <f aca="false">IFERROR(C153/J153,"")</f>
        <v/>
      </c>
      <c r="L153" s="19" t="str">
        <f aca="false">IFERROR(J153/F153,"")</f>
        <v/>
      </c>
      <c r="M153" s="11"/>
      <c r="N153" s="11"/>
      <c r="O153" s="21"/>
    </row>
    <row r="154" customFormat="false" ht="21.75" hidden="false" customHeight="true" outlineLevel="0" collapsed="false">
      <c r="A154" s="22"/>
      <c r="B154" s="5"/>
      <c r="C154" s="7"/>
      <c r="D154" s="23"/>
      <c r="E154" s="23"/>
      <c r="F154" s="23"/>
      <c r="G154" s="19" t="str">
        <f aca="false">IFERROR(F154/D154,"")</f>
        <v/>
      </c>
      <c r="H154" s="20" t="str">
        <f aca="false">IFERROR(C154/F154,"")</f>
        <v/>
      </c>
      <c r="I154" s="20" t="str">
        <f aca="false">IFERROR(C154/D154*1000,"")</f>
        <v/>
      </c>
      <c r="J154" s="5"/>
      <c r="K154" s="20" t="str">
        <f aca="false">IFERROR(C154/J154,"")</f>
        <v/>
      </c>
      <c r="L154" s="19" t="str">
        <f aca="false">IFERROR(J154/F154,"")</f>
        <v/>
      </c>
      <c r="M154" s="5"/>
      <c r="N154" s="5"/>
      <c r="O154" s="24"/>
    </row>
    <row r="155" customFormat="false" ht="21.75" hidden="false" customHeight="true" outlineLevel="0" collapsed="false">
      <c r="A155" s="17"/>
      <c r="B155" s="11"/>
      <c r="C155" s="12"/>
      <c r="D155" s="18"/>
      <c r="E155" s="18"/>
      <c r="F155" s="18"/>
      <c r="G155" s="19" t="str">
        <f aca="false">IFERROR(F155/D155,"")</f>
        <v/>
      </c>
      <c r="H155" s="20" t="str">
        <f aca="false">IFERROR(C155/F155,"")</f>
        <v/>
      </c>
      <c r="I155" s="20" t="str">
        <f aca="false">IFERROR(C155/D155*1000,"")</f>
        <v/>
      </c>
      <c r="J155" s="11"/>
      <c r="K155" s="20" t="str">
        <f aca="false">IFERROR(C155/J155,"")</f>
        <v/>
      </c>
      <c r="L155" s="19" t="str">
        <f aca="false">IFERROR(J155/F155,"")</f>
        <v/>
      </c>
      <c r="M155" s="11"/>
      <c r="N155" s="11"/>
      <c r="O155" s="21"/>
    </row>
    <row r="156" customFormat="false" ht="21.75" hidden="false" customHeight="true" outlineLevel="0" collapsed="false">
      <c r="A156" s="22"/>
      <c r="B156" s="5"/>
      <c r="C156" s="7"/>
      <c r="D156" s="23"/>
      <c r="E156" s="23"/>
      <c r="F156" s="23"/>
      <c r="G156" s="19" t="str">
        <f aca="false">IFERROR(F156/D156,"")</f>
        <v/>
      </c>
      <c r="H156" s="20" t="str">
        <f aca="false">IFERROR(C156/F156,"")</f>
        <v/>
      </c>
      <c r="I156" s="20" t="str">
        <f aca="false">IFERROR(C156/D156*1000,"")</f>
        <v/>
      </c>
      <c r="J156" s="5"/>
      <c r="K156" s="20" t="str">
        <f aca="false">IFERROR(C156/J156,"")</f>
        <v/>
      </c>
      <c r="L156" s="19" t="str">
        <f aca="false">IFERROR(J156/F156,"")</f>
        <v/>
      </c>
      <c r="M156" s="5"/>
      <c r="N156" s="5"/>
      <c r="O156" s="24"/>
    </row>
    <row r="157" customFormat="false" ht="21.75" hidden="false" customHeight="true" outlineLevel="0" collapsed="false">
      <c r="A157" s="17"/>
      <c r="B157" s="11"/>
      <c r="C157" s="12"/>
      <c r="D157" s="18"/>
      <c r="E157" s="18"/>
      <c r="F157" s="18"/>
      <c r="G157" s="19" t="str">
        <f aca="false">IFERROR(F157/D157,"")</f>
        <v/>
      </c>
      <c r="H157" s="20" t="str">
        <f aca="false">IFERROR(C157/F157,"")</f>
        <v/>
      </c>
      <c r="I157" s="20" t="str">
        <f aca="false">IFERROR(C157/D157*1000,"")</f>
        <v/>
      </c>
      <c r="J157" s="11"/>
      <c r="K157" s="20" t="str">
        <f aca="false">IFERROR(C157/J157,"")</f>
        <v/>
      </c>
      <c r="L157" s="19" t="str">
        <f aca="false">IFERROR(J157/F157,"")</f>
        <v/>
      </c>
      <c r="M157" s="11"/>
      <c r="N157" s="11"/>
      <c r="O157" s="21"/>
    </row>
    <row r="158" customFormat="false" ht="21.75" hidden="false" customHeight="true" outlineLevel="0" collapsed="false">
      <c r="A158" s="22"/>
      <c r="B158" s="5"/>
      <c r="C158" s="7"/>
      <c r="D158" s="23"/>
      <c r="E158" s="23"/>
      <c r="F158" s="23"/>
      <c r="G158" s="19" t="str">
        <f aca="false">IFERROR(F158/D158,"")</f>
        <v/>
      </c>
      <c r="H158" s="20" t="str">
        <f aca="false">IFERROR(C158/F158,"")</f>
        <v/>
      </c>
      <c r="I158" s="20" t="str">
        <f aca="false">IFERROR(C158/D158*1000,"")</f>
        <v/>
      </c>
      <c r="J158" s="5"/>
      <c r="K158" s="20" t="str">
        <f aca="false">IFERROR(C158/J158,"")</f>
        <v/>
      </c>
      <c r="L158" s="19" t="str">
        <f aca="false">IFERROR(J158/F158,"")</f>
        <v/>
      </c>
      <c r="M158" s="5"/>
      <c r="N158" s="5"/>
      <c r="O158" s="24"/>
    </row>
    <row r="159" customFormat="false" ht="21.75" hidden="false" customHeight="true" outlineLevel="0" collapsed="false">
      <c r="A159" s="17"/>
      <c r="B159" s="11"/>
      <c r="C159" s="12"/>
      <c r="D159" s="18"/>
      <c r="E159" s="18"/>
      <c r="F159" s="18"/>
      <c r="G159" s="19" t="str">
        <f aca="false">IFERROR(F159/D159,"")</f>
        <v/>
      </c>
      <c r="H159" s="20" t="str">
        <f aca="false">IFERROR(C159/F159,"")</f>
        <v/>
      </c>
      <c r="I159" s="20" t="str">
        <f aca="false">IFERROR(C159/D159*1000,"")</f>
        <v/>
      </c>
      <c r="J159" s="11"/>
      <c r="K159" s="20" t="str">
        <f aca="false">IFERROR(C159/J159,"")</f>
        <v/>
      </c>
      <c r="L159" s="19" t="str">
        <f aca="false">IFERROR(J159/F159,"")</f>
        <v/>
      </c>
      <c r="M159" s="11"/>
      <c r="N159" s="11"/>
      <c r="O159" s="21"/>
    </row>
    <row r="160" customFormat="false" ht="21.75" hidden="false" customHeight="true" outlineLevel="0" collapsed="false">
      <c r="A160" s="22"/>
      <c r="B160" s="5"/>
      <c r="C160" s="7"/>
      <c r="D160" s="23"/>
      <c r="E160" s="23"/>
      <c r="F160" s="23"/>
      <c r="G160" s="19" t="str">
        <f aca="false">IFERROR(F160/D160,"")</f>
        <v/>
      </c>
      <c r="H160" s="20" t="str">
        <f aca="false">IFERROR(C160/F160,"")</f>
        <v/>
      </c>
      <c r="I160" s="20" t="str">
        <f aca="false">IFERROR(C160/D160*1000,"")</f>
        <v/>
      </c>
      <c r="J160" s="5"/>
      <c r="K160" s="20" t="str">
        <f aca="false">IFERROR(C160/J160,"")</f>
        <v/>
      </c>
      <c r="L160" s="19" t="str">
        <f aca="false">IFERROR(J160/F160,"")</f>
        <v/>
      </c>
      <c r="M160" s="5"/>
      <c r="N160" s="5"/>
      <c r="O160" s="24"/>
    </row>
    <row r="161" customFormat="false" ht="21.75" hidden="false" customHeight="true" outlineLevel="0" collapsed="false">
      <c r="A161" s="17"/>
      <c r="B161" s="11"/>
      <c r="C161" s="12"/>
      <c r="D161" s="18"/>
      <c r="E161" s="18"/>
      <c r="F161" s="18"/>
      <c r="G161" s="19" t="str">
        <f aca="false">IFERROR(F161/D161,"")</f>
        <v/>
      </c>
      <c r="H161" s="20" t="str">
        <f aca="false">IFERROR(C161/F161,"")</f>
        <v/>
      </c>
      <c r="I161" s="20" t="str">
        <f aca="false">IFERROR(C161/D161*1000,"")</f>
        <v/>
      </c>
      <c r="J161" s="11"/>
      <c r="K161" s="20" t="str">
        <f aca="false">IFERROR(C161/J161,"")</f>
        <v/>
      </c>
      <c r="L161" s="19" t="str">
        <f aca="false">IFERROR(J161/F161,"")</f>
        <v/>
      </c>
      <c r="M161" s="11"/>
      <c r="N161" s="11"/>
      <c r="O161" s="21"/>
    </row>
    <row r="162" customFormat="false" ht="21.75" hidden="false" customHeight="true" outlineLevel="0" collapsed="false">
      <c r="A162" s="22"/>
      <c r="B162" s="5"/>
      <c r="C162" s="7"/>
      <c r="D162" s="23"/>
      <c r="E162" s="23"/>
      <c r="F162" s="23"/>
      <c r="G162" s="19" t="str">
        <f aca="false">IFERROR(F162/D162,"")</f>
        <v/>
      </c>
      <c r="H162" s="20" t="str">
        <f aca="false">IFERROR(C162/F162,"")</f>
        <v/>
      </c>
      <c r="I162" s="20" t="str">
        <f aca="false">IFERROR(C162/D162*1000,"")</f>
        <v/>
      </c>
      <c r="J162" s="5"/>
      <c r="K162" s="20" t="str">
        <f aca="false">IFERROR(C162/J162,"")</f>
        <v/>
      </c>
      <c r="L162" s="19" t="str">
        <f aca="false">IFERROR(J162/F162,"")</f>
        <v/>
      </c>
      <c r="M162" s="5"/>
      <c r="N162" s="5"/>
      <c r="O162" s="24"/>
    </row>
    <row r="163" customFormat="false" ht="21.75" hidden="false" customHeight="true" outlineLevel="0" collapsed="false">
      <c r="A163" s="17"/>
      <c r="B163" s="11"/>
      <c r="C163" s="12"/>
      <c r="D163" s="18"/>
      <c r="E163" s="18"/>
      <c r="F163" s="18"/>
      <c r="G163" s="19" t="str">
        <f aca="false">IFERROR(F163/D163,"")</f>
        <v/>
      </c>
      <c r="H163" s="20" t="str">
        <f aca="false">IFERROR(C163/F163,"")</f>
        <v/>
      </c>
      <c r="I163" s="20" t="str">
        <f aca="false">IFERROR(C163/D163*1000,"")</f>
        <v/>
      </c>
      <c r="J163" s="11"/>
      <c r="K163" s="20" t="str">
        <f aca="false">IFERROR(C163/J163,"")</f>
        <v/>
      </c>
      <c r="L163" s="19" t="str">
        <f aca="false">IFERROR(J163/F163,"")</f>
        <v/>
      </c>
      <c r="M163" s="11"/>
      <c r="N163" s="11"/>
      <c r="O163" s="21"/>
    </row>
    <row r="164" customFormat="false" ht="21.75" hidden="false" customHeight="true" outlineLevel="0" collapsed="false">
      <c r="A164" s="22"/>
      <c r="B164" s="5"/>
      <c r="C164" s="7"/>
      <c r="D164" s="23"/>
      <c r="E164" s="23"/>
      <c r="F164" s="23"/>
      <c r="G164" s="19" t="str">
        <f aca="false">IFERROR(F164/D164,"")</f>
        <v/>
      </c>
      <c r="H164" s="20" t="str">
        <f aca="false">IFERROR(C164/F164,"")</f>
        <v/>
      </c>
      <c r="I164" s="20" t="str">
        <f aca="false">IFERROR(C164/D164*1000,"")</f>
        <v/>
      </c>
      <c r="J164" s="5"/>
      <c r="K164" s="20" t="str">
        <f aca="false">IFERROR(C164/J164,"")</f>
        <v/>
      </c>
      <c r="L164" s="19" t="str">
        <f aca="false">IFERROR(J164/F164,"")</f>
        <v/>
      </c>
      <c r="M164" s="5"/>
      <c r="N164" s="5"/>
      <c r="O164" s="24"/>
    </row>
    <row r="165" customFormat="false" ht="21.75" hidden="false" customHeight="true" outlineLevel="0" collapsed="false">
      <c r="A165" s="17"/>
      <c r="B165" s="11"/>
      <c r="C165" s="12"/>
      <c r="D165" s="18"/>
      <c r="E165" s="18"/>
      <c r="F165" s="18"/>
      <c r="G165" s="19" t="str">
        <f aca="false">IFERROR(F165/D165,"")</f>
        <v/>
      </c>
      <c r="H165" s="20" t="str">
        <f aca="false">IFERROR(C165/F165,"")</f>
        <v/>
      </c>
      <c r="I165" s="20" t="str">
        <f aca="false">IFERROR(C165/D165*1000,"")</f>
        <v/>
      </c>
      <c r="J165" s="11"/>
      <c r="K165" s="20" t="str">
        <f aca="false">IFERROR(C165/J165,"")</f>
        <v/>
      </c>
      <c r="L165" s="19" t="str">
        <f aca="false">IFERROR(J165/F165,"")</f>
        <v/>
      </c>
      <c r="M165" s="11"/>
      <c r="N165" s="11"/>
      <c r="O165" s="21"/>
    </row>
    <row r="166" customFormat="false" ht="21.75" hidden="false" customHeight="true" outlineLevel="0" collapsed="false">
      <c r="A166" s="22"/>
      <c r="B166" s="5"/>
      <c r="C166" s="7"/>
      <c r="D166" s="23"/>
      <c r="E166" s="23"/>
      <c r="F166" s="23"/>
      <c r="G166" s="19" t="str">
        <f aca="false">IFERROR(F166/D166,"")</f>
        <v/>
      </c>
      <c r="H166" s="20" t="str">
        <f aca="false">IFERROR(C166/F166,"")</f>
        <v/>
      </c>
      <c r="I166" s="20" t="str">
        <f aca="false">IFERROR(C166/D166*1000,"")</f>
        <v/>
      </c>
      <c r="J166" s="5"/>
      <c r="K166" s="20" t="str">
        <f aca="false">IFERROR(C166/J166,"")</f>
        <v/>
      </c>
      <c r="L166" s="19" t="str">
        <f aca="false">IFERROR(J166/F166,"")</f>
        <v/>
      </c>
      <c r="M166" s="5"/>
      <c r="N166" s="5"/>
      <c r="O166" s="24"/>
    </row>
    <row r="167" customFormat="false" ht="21.75" hidden="false" customHeight="true" outlineLevel="0" collapsed="false">
      <c r="A167" s="17"/>
      <c r="B167" s="11"/>
      <c r="C167" s="12"/>
      <c r="D167" s="18"/>
      <c r="E167" s="18"/>
      <c r="F167" s="18"/>
      <c r="G167" s="19" t="str">
        <f aca="false">IFERROR(F167/D167,"")</f>
        <v/>
      </c>
      <c r="H167" s="20" t="str">
        <f aca="false">IFERROR(C167/F167,"")</f>
        <v/>
      </c>
      <c r="I167" s="20" t="str">
        <f aca="false">IFERROR(C167/D167*1000,"")</f>
        <v/>
      </c>
      <c r="J167" s="11"/>
      <c r="K167" s="20" t="str">
        <f aca="false">IFERROR(C167/J167,"")</f>
        <v/>
      </c>
      <c r="L167" s="19" t="str">
        <f aca="false">IFERROR(J167/F167,"")</f>
        <v/>
      </c>
      <c r="M167" s="11"/>
      <c r="N167" s="11"/>
      <c r="O167" s="21"/>
    </row>
    <row r="168" customFormat="false" ht="21.75" hidden="false" customHeight="true" outlineLevel="0" collapsed="false">
      <c r="A168" s="22"/>
      <c r="B168" s="5"/>
      <c r="C168" s="7"/>
      <c r="D168" s="23"/>
      <c r="E168" s="23"/>
      <c r="F168" s="23"/>
      <c r="G168" s="19" t="str">
        <f aca="false">IFERROR(F168/D168,"")</f>
        <v/>
      </c>
      <c r="H168" s="20" t="str">
        <f aca="false">IFERROR(C168/F168,"")</f>
        <v/>
      </c>
      <c r="I168" s="20" t="str">
        <f aca="false">IFERROR(C168/D168*1000,"")</f>
        <v/>
      </c>
      <c r="J168" s="5"/>
      <c r="K168" s="20" t="str">
        <f aca="false">IFERROR(C168/J168,"")</f>
        <v/>
      </c>
      <c r="L168" s="19" t="str">
        <f aca="false">IFERROR(J168/F168,"")</f>
        <v/>
      </c>
      <c r="M168" s="5"/>
      <c r="N168" s="5"/>
      <c r="O168" s="24"/>
    </row>
    <row r="169" customFormat="false" ht="21.75" hidden="false" customHeight="true" outlineLevel="0" collapsed="false">
      <c r="A169" s="17"/>
      <c r="B169" s="11"/>
      <c r="C169" s="12"/>
      <c r="D169" s="18"/>
      <c r="E169" s="18"/>
      <c r="F169" s="18"/>
      <c r="G169" s="19" t="str">
        <f aca="false">IFERROR(F169/D169,"")</f>
        <v/>
      </c>
      <c r="H169" s="20" t="str">
        <f aca="false">IFERROR(C169/F169,"")</f>
        <v/>
      </c>
      <c r="I169" s="20" t="str">
        <f aca="false">IFERROR(C169/D169*1000,"")</f>
        <v/>
      </c>
      <c r="J169" s="11"/>
      <c r="K169" s="20" t="str">
        <f aca="false">IFERROR(C169/J169,"")</f>
        <v/>
      </c>
      <c r="L169" s="19" t="str">
        <f aca="false">IFERROR(J169/F169,"")</f>
        <v/>
      </c>
      <c r="M169" s="11"/>
      <c r="N169" s="11"/>
      <c r="O169" s="21"/>
    </row>
    <row r="170" customFormat="false" ht="21.75" hidden="false" customHeight="true" outlineLevel="0" collapsed="false">
      <c r="A170" s="22"/>
      <c r="B170" s="5"/>
      <c r="C170" s="7"/>
      <c r="D170" s="23"/>
      <c r="E170" s="23"/>
      <c r="F170" s="23"/>
      <c r="G170" s="19" t="str">
        <f aca="false">IFERROR(F170/D170,"")</f>
        <v/>
      </c>
      <c r="H170" s="20" t="str">
        <f aca="false">IFERROR(C170/F170,"")</f>
        <v/>
      </c>
      <c r="I170" s="20" t="str">
        <f aca="false">IFERROR(C170/D170*1000,"")</f>
        <v/>
      </c>
      <c r="J170" s="5"/>
      <c r="K170" s="20" t="str">
        <f aca="false">IFERROR(C170/J170,"")</f>
        <v/>
      </c>
      <c r="L170" s="19" t="str">
        <f aca="false">IFERROR(J170/F170,"")</f>
        <v/>
      </c>
      <c r="M170" s="5"/>
      <c r="N170" s="5"/>
      <c r="O170" s="24"/>
    </row>
    <row r="171" customFormat="false" ht="21.75" hidden="false" customHeight="true" outlineLevel="0" collapsed="false">
      <c r="A171" s="17"/>
      <c r="B171" s="11"/>
      <c r="C171" s="12"/>
      <c r="D171" s="18"/>
      <c r="E171" s="18"/>
      <c r="F171" s="18"/>
      <c r="G171" s="19" t="str">
        <f aca="false">IFERROR(F171/D171,"")</f>
        <v/>
      </c>
      <c r="H171" s="20" t="str">
        <f aca="false">IFERROR(C171/F171,"")</f>
        <v/>
      </c>
      <c r="I171" s="20" t="str">
        <f aca="false">IFERROR(C171/D171*1000,"")</f>
        <v/>
      </c>
      <c r="J171" s="11"/>
      <c r="K171" s="20" t="str">
        <f aca="false">IFERROR(C171/J171,"")</f>
        <v/>
      </c>
      <c r="L171" s="19" t="str">
        <f aca="false">IFERROR(J171/F171,"")</f>
        <v/>
      </c>
      <c r="M171" s="11"/>
      <c r="N171" s="11"/>
      <c r="O171" s="21"/>
    </row>
    <row r="172" customFormat="false" ht="21.75" hidden="false" customHeight="true" outlineLevel="0" collapsed="false">
      <c r="A172" s="22"/>
      <c r="B172" s="5"/>
      <c r="C172" s="7"/>
      <c r="D172" s="23"/>
      <c r="E172" s="23"/>
      <c r="F172" s="23"/>
      <c r="G172" s="19" t="str">
        <f aca="false">IFERROR(F172/D172,"")</f>
        <v/>
      </c>
      <c r="H172" s="20" t="str">
        <f aca="false">IFERROR(C172/F172,"")</f>
        <v/>
      </c>
      <c r="I172" s="20" t="str">
        <f aca="false">IFERROR(C172/D172*1000,"")</f>
        <v/>
      </c>
      <c r="J172" s="5"/>
      <c r="K172" s="20" t="str">
        <f aca="false">IFERROR(C172/J172,"")</f>
        <v/>
      </c>
      <c r="L172" s="19" t="str">
        <f aca="false">IFERROR(J172/F172,"")</f>
        <v/>
      </c>
      <c r="M172" s="5"/>
      <c r="N172" s="5"/>
      <c r="O172" s="24"/>
    </row>
    <row r="173" customFormat="false" ht="21.75" hidden="false" customHeight="true" outlineLevel="0" collapsed="false">
      <c r="A173" s="17"/>
      <c r="B173" s="11"/>
      <c r="C173" s="12"/>
      <c r="D173" s="18"/>
      <c r="E173" s="18"/>
      <c r="F173" s="18"/>
      <c r="G173" s="19" t="str">
        <f aca="false">IFERROR(F173/D173,"")</f>
        <v/>
      </c>
      <c r="H173" s="20" t="str">
        <f aca="false">IFERROR(C173/F173,"")</f>
        <v/>
      </c>
      <c r="I173" s="20" t="str">
        <f aca="false">IFERROR(C173/D173*1000,"")</f>
        <v/>
      </c>
      <c r="J173" s="11"/>
      <c r="K173" s="20" t="str">
        <f aca="false">IFERROR(C173/J173,"")</f>
        <v/>
      </c>
      <c r="L173" s="19" t="str">
        <f aca="false">IFERROR(J173/F173,"")</f>
        <v/>
      </c>
      <c r="M173" s="11"/>
      <c r="N173" s="11"/>
      <c r="O173" s="21"/>
    </row>
    <row r="174" customFormat="false" ht="21.75" hidden="false" customHeight="true" outlineLevel="0" collapsed="false">
      <c r="A174" s="22"/>
      <c r="B174" s="5"/>
      <c r="C174" s="7"/>
      <c r="D174" s="23"/>
      <c r="E174" s="23"/>
      <c r="F174" s="23"/>
      <c r="G174" s="19" t="str">
        <f aca="false">IFERROR(F174/D174,"")</f>
        <v/>
      </c>
      <c r="H174" s="20" t="str">
        <f aca="false">IFERROR(C174/F174,"")</f>
        <v/>
      </c>
      <c r="I174" s="20" t="str">
        <f aca="false">IFERROR(C174/D174*1000,"")</f>
        <v/>
      </c>
      <c r="J174" s="5"/>
      <c r="K174" s="20" t="str">
        <f aca="false">IFERROR(C174/J174,"")</f>
        <v/>
      </c>
      <c r="L174" s="19" t="str">
        <f aca="false">IFERROR(J174/F174,"")</f>
        <v/>
      </c>
      <c r="M174" s="5"/>
      <c r="N174" s="5"/>
      <c r="O174" s="24"/>
    </row>
    <row r="175" customFormat="false" ht="21.75" hidden="false" customHeight="true" outlineLevel="0" collapsed="false">
      <c r="A175" s="17"/>
      <c r="B175" s="11"/>
      <c r="C175" s="12"/>
      <c r="D175" s="18"/>
      <c r="E175" s="18"/>
      <c r="F175" s="18"/>
      <c r="G175" s="19" t="str">
        <f aca="false">IFERROR(F175/D175,"")</f>
        <v/>
      </c>
      <c r="H175" s="20" t="str">
        <f aca="false">IFERROR(C175/F175,"")</f>
        <v/>
      </c>
      <c r="I175" s="20" t="str">
        <f aca="false">IFERROR(C175/D175*1000,"")</f>
        <v/>
      </c>
      <c r="J175" s="11"/>
      <c r="K175" s="20" t="str">
        <f aca="false">IFERROR(C175/J175,"")</f>
        <v/>
      </c>
      <c r="L175" s="19" t="str">
        <f aca="false">IFERROR(J175/F175,"")</f>
        <v/>
      </c>
      <c r="M175" s="11"/>
      <c r="N175" s="11"/>
      <c r="O175" s="21"/>
    </row>
    <row r="176" customFormat="false" ht="21.75" hidden="false" customHeight="true" outlineLevel="0" collapsed="false">
      <c r="A176" s="22"/>
      <c r="B176" s="5"/>
      <c r="C176" s="7"/>
      <c r="D176" s="23"/>
      <c r="E176" s="23"/>
      <c r="F176" s="23"/>
      <c r="G176" s="19" t="str">
        <f aca="false">IFERROR(F176/D176,"")</f>
        <v/>
      </c>
      <c r="H176" s="20" t="str">
        <f aca="false">IFERROR(C176/F176,"")</f>
        <v/>
      </c>
      <c r="I176" s="20" t="str">
        <f aca="false">IFERROR(C176/D176*1000,"")</f>
        <v/>
      </c>
      <c r="J176" s="5"/>
      <c r="K176" s="20" t="str">
        <f aca="false">IFERROR(C176/J176,"")</f>
        <v/>
      </c>
      <c r="L176" s="19" t="str">
        <f aca="false">IFERROR(J176/F176,"")</f>
        <v/>
      </c>
      <c r="M176" s="5"/>
      <c r="N176" s="5"/>
      <c r="O176" s="24"/>
    </row>
    <row r="177" customFormat="false" ht="21.75" hidden="false" customHeight="true" outlineLevel="0" collapsed="false">
      <c r="A177" s="17"/>
      <c r="B177" s="11"/>
      <c r="C177" s="12"/>
      <c r="D177" s="18"/>
      <c r="E177" s="18"/>
      <c r="F177" s="18"/>
      <c r="G177" s="19" t="str">
        <f aca="false">IFERROR(F177/D177,"")</f>
        <v/>
      </c>
      <c r="H177" s="20" t="str">
        <f aca="false">IFERROR(C177/F177,"")</f>
        <v/>
      </c>
      <c r="I177" s="20" t="str">
        <f aca="false">IFERROR(C177/D177*1000,"")</f>
        <v/>
      </c>
      <c r="J177" s="11"/>
      <c r="K177" s="20" t="str">
        <f aca="false">IFERROR(C177/J177,"")</f>
        <v/>
      </c>
      <c r="L177" s="19" t="str">
        <f aca="false">IFERROR(J177/F177,"")</f>
        <v/>
      </c>
      <c r="M177" s="11"/>
      <c r="N177" s="11"/>
      <c r="O177" s="21"/>
    </row>
    <row r="178" customFormat="false" ht="21.75" hidden="false" customHeight="true" outlineLevel="0" collapsed="false">
      <c r="A178" s="22"/>
      <c r="B178" s="5"/>
      <c r="C178" s="7"/>
      <c r="D178" s="23"/>
      <c r="E178" s="23"/>
      <c r="F178" s="23"/>
      <c r="G178" s="19" t="str">
        <f aca="false">IFERROR(F178/D178,"")</f>
        <v/>
      </c>
      <c r="H178" s="20" t="str">
        <f aca="false">IFERROR(C178/F178,"")</f>
        <v/>
      </c>
      <c r="I178" s="20" t="str">
        <f aca="false">IFERROR(C178/D178*1000,"")</f>
        <v/>
      </c>
      <c r="J178" s="5"/>
      <c r="K178" s="20" t="str">
        <f aca="false">IFERROR(C178/J178,"")</f>
        <v/>
      </c>
      <c r="L178" s="19" t="str">
        <f aca="false">IFERROR(J178/F178,"")</f>
        <v/>
      </c>
      <c r="M178" s="5"/>
      <c r="N178" s="5"/>
      <c r="O178" s="24"/>
    </row>
    <row r="179" customFormat="false" ht="21.75" hidden="false" customHeight="true" outlineLevel="0" collapsed="false">
      <c r="A179" s="17"/>
      <c r="B179" s="11"/>
      <c r="C179" s="12"/>
      <c r="D179" s="18"/>
      <c r="E179" s="18"/>
      <c r="F179" s="18"/>
      <c r="G179" s="19" t="str">
        <f aca="false">IFERROR(F179/D179,"")</f>
        <v/>
      </c>
      <c r="H179" s="20" t="str">
        <f aca="false">IFERROR(C179/F179,"")</f>
        <v/>
      </c>
      <c r="I179" s="20" t="str">
        <f aca="false">IFERROR(C179/D179*1000,"")</f>
        <v/>
      </c>
      <c r="J179" s="11"/>
      <c r="K179" s="20" t="str">
        <f aca="false">IFERROR(C179/J179,"")</f>
        <v/>
      </c>
      <c r="L179" s="19" t="str">
        <f aca="false">IFERROR(J179/F179,"")</f>
        <v/>
      </c>
      <c r="M179" s="11"/>
      <c r="N179" s="11"/>
      <c r="O179" s="21"/>
    </row>
    <row r="180" customFormat="false" ht="21.75" hidden="false" customHeight="true" outlineLevel="0" collapsed="false">
      <c r="A180" s="22"/>
      <c r="B180" s="5"/>
      <c r="C180" s="7"/>
      <c r="D180" s="23"/>
      <c r="E180" s="23"/>
      <c r="F180" s="23"/>
      <c r="G180" s="19" t="str">
        <f aca="false">IFERROR(F180/D180,"")</f>
        <v/>
      </c>
      <c r="H180" s="20" t="str">
        <f aca="false">IFERROR(C180/F180,"")</f>
        <v/>
      </c>
      <c r="I180" s="20" t="str">
        <f aca="false">IFERROR(C180/D180*1000,"")</f>
        <v/>
      </c>
      <c r="J180" s="5"/>
      <c r="K180" s="20" t="str">
        <f aca="false">IFERROR(C180/J180,"")</f>
        <v/>
      </c>
      <c r="L180" s="19" t="str">
        <f aca="false">IFERROR(J180/F180,"")</f>
        <v/>
      </c>
      <c r="M180" s="5"/>
      <c r="N180" s="5"/>
      <c r="O180" s="24"/>
    </row>
    <row r="181" customFormat="false" ht="21.75" hidden="false" customHeight="true" outlineLevel="0" collapsed="false">
      <c r="A181" s="17"/>
      <c r="B181" s="11"/>
      <c r="C181" s="12"/>
      <c r="D181" s="18"/>
      <c r="E181" s="18"/>
      <c r="F181" s="18"/>
      <c r="G181" s="19" t="str">
        <f aca="false">IFERROR(F181/D181,"")</f>
        <v/>
      </c>
      <c r="H181" s="20" t="str">
        <f aca="false">IFERROR(C181/F181,"")</f>
        <v/>
      </c>
      <c r="I181" s="20" t="str">
        <f aca="false">IFERROR(C181/D181*1000,"")</f>
        <v/>
      </c>
      <c r="J181" s="11"/>
      <c r="K181" s="20" t="str">
        <f aca="false">IFERROR(C181/J181,"")</f>
        <v/>
      </c>
      <c r="L181" s="19" t="str">
        <f aca="false">IFERROR(J181/F181,"")</f>
        <v/>
      </c>
      <c r="M181" s="11"/>
      <c r="N181" s="11"/>
      <c r="O181" s="21"/>
    </row>
    <row r="182" customFormat="false" ht="21.75" hidden="false" customHeight="true" outlineLevel="0" collapsed="false">
      <c r="A182" s="22"/>
      <c r="B182" s="5"/>
      <c r="C182" s="7"/>
      <c r="D182" s="23"/>
      <c r="E182" s="23"/>
      <c r="F182" s="23"/>
      <c r="G182" s="19" t="str">
        <f aca="false">IFERROR(F182/D182,"")</f>
        <v/>
      </c>
      <c r="H182" s="20" t="str">
        <f aca="false">IFERROR(C182/F182,"")</f>
        <v/>
      </c>
      <c r="I182" s="20" t="str">
        <f aca="false">IFERROR(C182/D182*1000,"")</f>
        <v/>
      </c>
      <c r="J182" s="5"/>
      <c r="K182" s="20" t="str">
        <f aca="false">IFERROR(C182/J182,"")</f>
        <v/>
      </c>
      <c r="L182" s="19" t="str">
        <f aca="false">IFERROR(J182/F182,"")</f>
        <v/>
      </c>
      <c r="M182" s="5"/>
      <c r="N182" s="5"/>
      <c r="O182" s="24"/>
    </row>
    <row r="183" customFormat="false" ht="21.75" hidden="false" customHeight="true" outlineLevel="0" collapsed="false">
      <c r="A183" s="17"/>
      <c r="B183" s="11"/>
      <c r="C183" s="12"/>
      <c r="D183" s="18"/>
      <c r="E183" s="18"/>
      <c r="F183" s="18"/>
      <c r="G183" s="19" t="str">
        <f aca="false">IFERROR(F183/D183,"")</f>
        <v/>
      </c>
      <c r="H183" s="20" t="str">
        <f aca="false">IFERROR(C183/F183,"")</f>
        <v/>
      </c>
      <c r="I183" s="20" t="str">
        <f aca="false">IFERROR(C183/D183*1000,"")</f>
        <v/>
      </c>
      <c r="J183" s="11"/>
      <c r="K183" s="20" t="str">
        <f aca="false">IFERROR(C183/J183,"")</f>
        <v/>
      </c>
      <c r="L183" s="19" t="str">
        <f aca="false">IFERROR(J183/F183,"")</f>
        <v/>
      </c>
      <c r="M183" s="11"/>
      <c r="N183" s="11"/>
      <c r="O183" s="21"/>
    </row>
    <row r="184" customFormat="false" ht="21.75" hidden="false" customHeight="true" outlineLevel="0" collapsed="false">
      <c r="A184" s="22"/>
      <c r="B184" s="5"/>
      <c r="C184" s="7"/>
      <c r="D184" s="23"/>
      <c r="E184" s="23"/>
      <c r="F184" s="23"/>
      <c r="G184" s="19" t="str">
        <f aca="false">IFERROR(F184/D184,"")</f>
        <v/>
      </c>
      <c r="H184" s="20" t="str">
        <f aca="false">IFERROR(C184/F184,"")</f>
        <v/>
      </c>
      <c r="I184" s="20" t="str">
        <f aca="false">IFERROR(C184/D184*1000,"")</f>
        <v/>
      </c>
      <c r="J184" s="5"/>
      <c r="K184" s="20" t="str">
        <f aca="false">IFERROR(C184/J184,"")</f>
        <v/>
      </c>
      <c r="L184" s="19" t="str">
        <f aca="false">IFERROR(J184/F184,"")</f>
        <v/>
      </c>
      <c r="M184" s="5"/>
      <c r="N184" s="5"/>
      <c r="O184" s="24"/>
    </row>
    <row r="185" customFormat="false" ht="21.75" hidden="false" customHeight="true" outlineLevel="0" collapsed="false">
      <c r="A185" s="17"/>
      <c r="B185" s="11"/>
      <c r="C185" s="12"/>
      <c r="D185" s="18"/>
      <c r="E185" s="18"/>
      <c r="F185" s="18"/>
      <c r="G185" s="19" t="str">
        <f aca="false">IFERROR(F185/D185,"")</f>
        <v/>
      </c>
      <c r="H185" s="20" t="str">
        <f aca="false">IFERROR(C185/F185,"")</f>
        <v/>
      </c>
      <c r="I185" s="20" t="str">
        <f aca="false">IFERROR(C185/D185*1000,"")</f>
        <v/>
      </c>
      <c r="J185" s="11"/>
      <c r="K185" s="20" t="str">
        <f aca="false">IFERROR(C185/J185,"")</f>
        <v/>
      </c>
      <c r="L185" s="19" t="str">
        <f aca="false">IFERROR(J185/F185,"")</f>
        <v/>
      </c>
      <c r="M185" s="11"/>
      <c r="N185" s="11"/>
      <c r="O185" s="21"/>
    </row>
    <row r="186" customFormat="false" ht="21.75" hidden="false" customHeight="true" outlineLevel="0" collapsed="false">
      <c r="A186" s="22"/>
      <c r="B186" s="5"/>
      <c r="C186" s="7"/>
      <c r="D186" s="23"/>
      <c r="E186" s="23"/>
      <c r="F186" s="23"/>
      <c r="G186" s="19" t="str">
        <f aca="false">IFERROR(F186/D186,"")</f>
        <v/>
      </c>
      <c r="H186" s="20" t="str">
        <f aca="false">IFERROR(C186/F186,"")</f>
        <v/>
      </c>
      <c r="I186" s="20" t="str">
        <f aca="false">IFERROR(C186/D186*1000,"")</f>
        <v/>
      </c>
      <c r="J186" s="5"/>
      <c r="K186" s="20" t="str">
        <f aca="false">IFERROR(C186/J186,"")</f>
        <v/>
      </c>
      <c r="L186" s="19" t="str">
        <f aca="false">IFERROR(J186/F186,"")</f>
        <v/>
      </c>
      <c r="M186" s="5"/>
      <c r="N186" s="5"/>
      <c r="O186" s="24"/>
    </row>
    <row r="187" customFormat="false" ht="21.75" hidden="false" customHeight="true" outlineLevel="0" collapsed="false">
      <c r="A187" s="17"/>
      <c r="B187" s="11"/>
      <c r="C187" s="12"/>
      <c r="D187" s="18"/>
      <c r="E187" s="18"/>
      <c r="F187" s="18"/>
      <c r="G187" s="19" t="str">
        <f aca="false">IFERROR(F187/D187,"")</f>
        <v/>
      </c>
      <c r="H187" s="20" t="str">
        <f aca="false">IFERROR(C187/F187,"")</f>
        <v/>
      </c>
      <c r="I187" s="20" t="str">
        <f aca="false">IFERROR(C187/D187*1000,"")</f>
        <v/>
      </c>
      <c r="J187" s="11"/>
      <c r="K187" s="20" t="str">
        <f aca="false">IFERROR(C187/J187,"")</f>
        <v/>
      </c>
      <c r="L187" s="19" t="str">
        <f aca="false">IFERROR(J187/F187,"")</f>
        <v/>
      </c>
      <c r="M187" s="11"/>
      <c r="N187" s="11"/>
      <c r="O187" s="21"/>
    </row>
    <row r="188" customFormat="false" ht="21.75" hidden="false" customHeight="true" outlineLevel="0" collapsed="false">
      <c r="A188" s="22"/>
      <c r="B188" s="5"/>
      <c r="C188" s="7"/>
      <c r="D188" s="23"/>
      <c r="E188" s="23"/>
      <c r="F188" s="23"/>
      <c r="G188" s="19" t="str">
        <f aca="false">IFERROR(F188/D188,"")</f>
        <v/>
      </c>
      <c r="H188" s="20" t="str">
        <f aca="false">IFERROR(C188/F188,"")</f>
        <v/>
      </c>
      <c r="I188" s="20" t="str">
        <f aca="false">IFERROR(C188/D188*1000,"")</f>
        <v/>
      </c>
      <c r="J188" s="5"/>
      <c r="K188" s="20" t="str">
        <f aca="false">IFERROR(C188/J188,"")</f>
        <v/>
      </c>
      <c r="L188" s="19" t="str">
        <f aca="false">IFERROR(J188/F188,"")</f>
        <v/>
      </c>
      <c r="M188" s="5"/>
      <c r="N188" s="5"/>
      <c r="O188" s="24"/>
    </row>
    <row r="189" customFormat="false" ht="21.75" hidden="false" customHeight="true" outlineLevel="0" collapsed="false">
      <c r="A189" s="17"/>
      <c r="B189" s="11"/>
      <c r="C189" s="12"/>
      <c r="D189" s="18"/>
      <c r="E189" s="18"/>
      <c r="F189" s="18"/>
      <c r="G189" s="19" t="str">
        <f aca="false">IFERROR(F189/D189,"")</f>
        <v/>
      </c>
      <c r="H189" s="20" t="str">
        <f aca="false">IFERROR(C189/F189,"")</f>
        <v/>
      </c>
      <c r="I189" s="20" t="str">
        <f aca="false">IFERROR(C189/D189*1000,"")</f>
        <v/>
      </c>
      <c r="J189" s="11"/>
      <c r="K189" s="20" t="str">
        <f aca="false">IFERROR(C189/J189,"")</f>
        <v/>
      </c>
      <c r="L189" s="19" t="str">
        <f aca="false">IFERROR(J189/F189,"")</f>
        <v/>
      </c>
      <c r="M189" s="11"/>
      <c r="N189" s="11"/>
      <c r="O189" s="21"/>
    </row>
    <row r="190" customFormat="false" ht="21.75" hidden="false" customHeight="true" outlineLevel="0" collapsed="false">
      <c r="A190" s="22"/>
      <c r="B190" s="5"/>
      <c r="C190" s="7"/>
      <c r="D190" s="23"/>
      <c r="E190" s="23"/>
      <c r="F190" s="23"/>
      <c r="G190" s="19" t="str">
        <f aca="false">IFERROR(F190/D190,"")</f>
        <v/>
      </c>
      <c r="H190" s="20" t="str">
        <f aca="false">IFERROR(C190/F190,"")</f>
        <v/>
      </c>
      <c r="I190" s="20" t="str">
        <f aca="false">IFERROR(C190/D190*1000,"")</f>
        <v/>
      </c>
      <c r="J190" s="5"/>
      <c r="K190" s="20" t="str">
        <f aca="false">IFERROR(C190/J190,"")</f>
        <v/>
      </c>
      <c r="L190" s="19" t="str">
        <f aca="false">IFERROR(J190/F190,"")</f>
        <v/>
      </c>
      <c r="M190" s="5"/>
      <c r="N190" s="5"/>
      <c r="O190" s="24"/>
    </row>
    <row r="191" customFormat="false" ht="21.75" hidden="false" customHeight="true" outlineLevel="0" collapsed="false">
      <c r="A191" s="17"/>
      <c r="B191" s="11"/>
      <c r="C191" s="12"/>
      <c r="D191" s="18"/>
      <c r="E191" s="18"/>
      <c r="F191" s="18"/>
      <c r="G191" s="19" t="str">
        <f aca="false">IFERROR(F191/D191,"")</f>
        <v/>
      </c>
      <c r="H191" s="20" t="str">
        <f aca="false">IFERROR(C191/F191,"")</f>
        <v/>
      </c>
      <c r="I191" s="20" t="str">
        <f aca="false">IFERROR(C191/D191*1000,"")</f>
        <v/>
      </c>
      <c r="J191" s="11"/>
      <c r="K191" s="20" t="str">
        <f aca="false">IFERROR(C191/J191,"")</f>
        <v/>
      </c>
      <c r="L191" s="19" t="str">
        <f aca="false">IFERROR(J191/F191,"")</f>
        <v/>
      </c>
      <c r="M191" s="11"/>
      <c r="N191" s="11"/>
      <c r="O191" s="21"/>
    </row>
    <row r="192" customFormat="false" ht="21.75" hidden="false" customHeight="true" outlineLevel="0" collapsed="false">
      <c r="A192" s="22"/>
      <c r="B192" s="5"/>
      <c r="C192" s="7"/>
      <c r="D192" s="23"/>
      <c r="E192" s="23"/>
      <c r="F192" s="23"/>
      <c r="G192" s="19" t="str">
        <f aca="false">IFERROR(F192/D192,"")</f>
        <v/>
      </c>
      <c r="H192" s="20" t="str">
        <f aca="false">IFERROR(C192/F192,"")</f>
        <v/>
      </c>
      <c r="I192" s="20" t="str">
        <f aca="false">IFERROR(C192/D192*1000,"")</f>
        <v/>
      </c>
      <c r="J192" s="5"/>
      <c r="K192" s="20" t="str">
        <f aca="false">IFERROR(C192/J192,"")</f>
        <v/>
      </c>
      <c r="L192" s="19" t="str">
        <f aca="false">IFERROR(J192/F192,"")</f>
        <v/>
      </c>
      <c r="M192" s="5"/>
      <c r="N192" s="5"/>
      <c r="O192" s="24"/>
    </row>
    <row r="193" customFormat="false" ht="21.75" hidden="false" customHeight="true" outlineLevel="0" collapsed="false">
      <c r="A193" s="17"/>
      <c r="B193" s="11"/>
      <c r="C193" s="12"/>
      <c r="D193" s="18"/>
      <c r="E193" s="18"/>
      <c r="F193" s="18"/>
      <c r="G193" s="19" t="str">
        <f aca="false">IFERROR(F193/D193,"")</f>
        <v/>
      </c>
      <c r="H193" s="20" t="str">
        <f aca="false">IFERROR(C193/F193,"")</f>
        <v/>
      </c>
      <c r="I193" s="20" t="str">
        <f aca="false">IFERROR(C193/D193*1000,"")</f>
        <v/>
      </c>
      <c r="J193" s="11"/>
      <c r="K193" s="20" t="str">
        <f aca="false">IFERROR(C193/J193,"")</f>
        <v/>
      </c>
      <c r="L193" s="19" t="str">
        <f aca="false">IFERROR(J193/F193,"")</f>
        <v/>
      </c>
      <c r="M193" s="11"/>
      <c r="N193" s="11"/>
      <c r="O193" s="21"/>
    </row>
    <row r="194" customFormat="false" ht="21.75" hidden="false" customHeight="true" outlineLevel="0" collapsed="false">
      <c r="A194" s="22"/>
      <c r="B194" s="5"/>
      <c r="C194" s="7"/>
      <c r="D194" s="23"/>
      <c r="E194" s="23"/>
      <c r="F194" s="23"/>
      <c r="G194" s="19" t="str">
        <f aca="false">IFERROR(F194/D194,"")</f>
        <v/>
      </c>
      <c r="H194" s="20" t="str">
        <f aca="false">IFERROR(C194/F194,"")</f>
        <v/>
      </c>
      <c r="I194" s="20" t="str">
        <f aca="false">IFERROR(C194/D194*1000,"")</f>
        <v/>
      </c>
      <c r="J194" s="5"/>
      <c r="K194" s="20" t="str">
        <f aca="false">IFERROR(C194/J194,"")</f>
        <v/>
      </c>
      <c r="L194" s="19" t="str">
        <f aca="false">IFERROR(J194/F194,"")</f>
        <v/>
      </c>
      <c r="M194" s="5"/>
      <c r="N194" s="5"/>
      <c r="O194" s="24"/>
    </row>
    <row r="195" customFormat="false" ht="21.75" hidden="false" customHeight="true" outlineLevel="0" collapsed="false">
      <c r="A195" s="17"/>
      <c r="B195" s="11"/>
      <c r="C195" s="12"/>
      <c r="D195" s="18"/>
      <c r="E195" s="18"/>
      <c r="F195" s="18"/>
      <c r="G195" s="19" t="str">
        <f aca="false">IFERROR(F195/D195,"")</f>
        <v/>
      </c>
      <c r="H195" s="20" t="str">
        <f aca="false">IFERROR(C195/F195,"")</f>
        <v/>
      </c>
      <c r="I195" s="20" t="str">
        <f aca="false">IFERROR(C195/D195*1000,"")</f>
        <v/>
      </c>
      <c r="J195" s="11"/>
      <c r="K195" s="20" t="str">
        <f aca="false">IFERROR(C195/J195,"")</f>
        <v/>
      </c>
      <c r="L195" s="19" t="str">
        <f aca="false">IFERROR(J195/F195,"")</f>
        <v/>
      </c>
      <c r="M195" s="11"/>
      <c r="N195" s="11"/>
      <c r="O195" s="21"/>
    </row>
    <row r="196" customFormat="false" ht="21.75" hidden="false" customHeight="true" outlineLevel="0" collapsed="false">
      <c r="A196" s="22"/>
      <c r="B196" s="5"/>
      <c r="C196" s="7"/>
      <c r="D196" s="23"/>
      <c r="E196" s="23"/>
      <c r="F196" s="23"/>
      <c r="G196" s="19" t="str">
        <f aca="false">IFERROR(F196/D196,"")</f>
        <v/>
      </c>
      <c r="H196" s="20" t="str">
        <f aca="false">IFERROR(C196/F196,"")</f>
        <v/>
      </c>
      <c r="I196" s="20" t="str">
        <f aca="false">IFERROR(C196/D196*1000,"")</f>
        <v/>
      </c>
      <c r="J196" s="5"/>
      <c r="K196" s="20" t="str">
        <f aca="false">IFERROR(C196/J196,"")</f>
        <v/>
      </c>
      <c r="L196" s="19" t="str">
        <f aca="false">IFERROR(J196/F196,"")</f>
        <v/>
      </c>
      <c r="M196" s="5"/>
      <c r="N196" s="5"/>
      <c r="O196" s="24"/>
    </row>
    <row r="197" customFormat="false" ht="21.75" hidden="false" customHeight="true" outlineLevel="0" collapsed="false">
      <c r="A197" s="17"/>
      <c r="B197" s="11"/>
      <c r="C197" s="12"/>
      <c r="D197" s="18"/>
      <c r="E197" s="18"/>
      <c r="F197" s="18"/>
      <c r="G197" s="19" t="str">
        <f aca="false">IFERROR(F197/D197,"")</f>
        <v/>
      </c>
      <c r="H197" s="20" t="str">
        <f aca="false">IFERROR(C197/F197,"")</f>
        <v/>
      </c>
      <c r="I197" s="20" t="str">
        <f aca="false">IFERROR(C197/D197*1000,"")</f>
        <v/>
      </c>
      <c r="J197" s="11"/>
      <c r="K197" s="20" t="str">
        <f aca="false">IFERROR(C197/J197,"")</f>
        <v/>
      </c>
      <c r="L197" s="19" t="str">
        <f aca="false">IFERROR(J197/F197,"")</f>
        <v/>
      </c>
      <c r="M197" s="11"/>
      <c r="N197" s="11"/>
      <c r="O197" s="21"/>
    </row>
    <row r="198" customFormat="false" ht="21.75" hidden="false" customHeight="true" outlineLevel="0" collapsed="false">
      <c r="A198" s="22"/>
      <c r="B198" s="5"/>
      <c r="C198" s="7"/>
      <c r="D198" s="23"/>
      <c r="E198" s="23"/>
      <c r="F198" s="23"/>
      <c r="G198" s="19" t="str">
        <f aca="false">IFERROR(F198/D198,"")</f>
        <v/>
      </c>
      <c r="H198" s="20" t="str">
        <f aca="false">IFERROR(C198/F198,"")</f>
        <v/>
      </c>
      <c r="I198" s="20" t="str">
        <f aca="false">IFERROR(C198/D198*1000,"")</f>
        <v/>
      </c>
      <c r="J198" s="5"/>
      <c r="K198" s="20" t="str">
        <f aca="false">IFERROR(C198/J198,"")</f>
        <v/>
      </c>
      <c r="L198" s="19" t="str">
        <f aca="false">IFERROR(J198/F198,"")</f>
        <v/>
      </c>
      <c r="M198" s="5"/>
      <c r="N198" s="5"/>
      <c r="O198" s="24"/>
    </row>
    <row r="199" customFormat="false" ht="21.75" hidden="false" customHeight="true" outlineLevel="0" collapsed="false">
      <c r="A199" s="17"/>
      <c r="B199" s="11"/>
      <c r="C199" s="12"/>
      <c r="D199" s="18"/>
      <c r="E199" s="18"/>
      <c r="F199" s="18"/>
      <c r="G199" s="19" t="str">
        <f aca="false">IFERROR(F199/D199,"")</f>
        <v/>
      </c>
      <c r="H199" s="20" t="str">
        <f aca="false">IFERROR(C199/F199,"")</f>
        <v/>
      </c>
      <c r="I199" s="20" t="str">
        <f aca="false">IFERROR(C199/D199*1000,"")</f>
        <v/>
      </c>
      <c r="J199" s="11"/>
      <c r="K199" s="20" t="str">
        <f aca="false">IFERROR(C199/J199,"")</f>
        <v/>
      </c>
      <c r="L199" s="19" t="str">
        <f aca="false">IFERROR(J199/F199,"")</f>
        <v/>
      </c>
      <c r="M199" s="11"/>
      <c r="N199" s="11"/>
      <c r="O199" s="21"/>
    </row>
    <row r="200" customFormat="false" ht="21.75" hidden="false" customHeight="true" outlineLevel="0" collapsed="false">
      <c r="A200" s="22"/>
      <c r="B200" s="5"/>
      <c r="C200" s="7"/>
      <c r="D200" s="23"/>
      <c r="E200" s="23"/>
      <c r="F200" s="23"/>
      <c r="G200" s="19" t="str">
        <f aca="false">IFERROR(F200/D200,"")</f>
        <v/>
      </c>
      <c r="H200" s="20" t="str">
        <f aca="false">IFERROR(C200/F200,"")</f>
        <v/>
      </c>
      <c r="I200" s="20" t="str">
        <f aca="false">IFERROR(C200/D200*1000,"")</f>
        <v/>
      </c>
      <c r="J200" s="5"/>
      <c r="K200" s="20" t="str">
        <f aca="false">IFERROR(C200/J200,"")</f>
        <v/>
      </c>
      <c r="L200" s="19" t="str">
        <f aca="false">IFERROR(J200/F200,"")</f>
        <v/>
      </c>
      <c r="M200" s="5"/>
      <c r="N200" s="5"/>
      <c r="O200" s="24"/>
    </row>
    <row r="201" customFormat="false" ht="21.75" hidden="false" customHeight="true" outlineLevel="0" collapsed="false">
      <c r="A201" s="17"/>
      <c r="B201" s="11"/>
      <c r="C201" s="12"/>
      <c r="D201" s="18"/>
      <c r="E201" s="18"/>
      <c r="F201" s="18"/>
      <c r="G201" s="19" t="str">
        <f aca="false">IFERROR(F201/D201,"")</f>
        <v/>
      </c>
      <c r="H201" s="20" t="str">
        <f aca="false">IFERROR(C201/F201,"")</f>
        <v/>
      </c>
      <c r="I201" s="20" t="str">
        <f aca="false">IFERROR(C201/D201*1000,"")</f>
        <v/>
      </c>
      <c r="J201" s="11"/>
      <c r="K201" s="20" t="str">
        <f aca="false">IFERROR(C201/J201,"")</f>
        <v/>
      </c>
      <c r="L201" s="19" t="str">
        <f aca="false">IFERROR(J201/F201,"")</f>
        <v/>
      </c>
      <c r="M201" s="11"/>
      <c r="N201" s="11"/>
      <c r="O201" s="21"/>
    </row>
    <row r="202" customFormat="false" ht="21.75" hidden="false" customHeight="true" outlineLevel="0" collapsed="false">
      <c r="A202" s="22"/>
      <c r="B202" s="5"/>
      <c r="C202" s="7"/>
      <c r="D202" s="23"/>
      <c r="E202" s="23"/>
      <c r="F202" s="23"/>
      <c r="G202" s="19" t="str">
        <f aca="false">IFERROR(F202/D202,"")</f>
        <v/>
      </c>
      <c r="H202" s="20" t="str">
        <f aca="false">IFERROR(C202/F202,"")</f>
        <v/>
      </c>
      <c r="I202" s="20" t="str">
        <f aca="false">IFERROR(C202/D202*1000,"")</f>
        <v/>
      </c>
      <c r="J202" s="5"/>
      <c r="K202" s="20" t="str">
        <f aca="false">IFERROR(C202/J202,"")</f>
        <v/>
      </c>
      <c r="L202" s="19" t="str">
        <f aca="false">IFERROR(J202/F202,"")</f>
        <v/>
      </c>
      <c r="M202" s="5"/>
      <c r="N202" s="5"/>
      <c r="O202" s="24"/>
    </row>
    <row r="203" customFormat="false" ht="21.75" hidden="false" customHeight="true" outlineLevel="0" collapsed="false">
      <c r="A203" s="17"/>
      <c r="B203" s="11"/>
      <c r="C203" s="12"/>
      <c r="D203" s="18"/>
      <c r="E203" s="18"/>
      <c r="F203" s="18"/>
      <c r="G203" s="19" t="str">
        <f aca="false">IFERROR(F203/D203,"")</f>
        <v/>
      </c>
      <c r="H203" s="20" t="str">
        <f aca="false">IFERROR(C203/F203,"")</f>
        <v/>
      </c>
      <c r="I203" s="20" t="str">
        <f aca="false">IFERROR(C203/D203*1000,"")</f>
        <v/>
      </c>
      <c r="J203" s="11"/>
      <c r="K203" s="20" t="str">
        <f aca="false">IFERROR(C203/J203,"")</f>
        <v/>
      </c>
      <c r="L203" s="19" t="str">
        <f aca="false">IFERROR(J203/F203,"")</f>
        <v/>
      </c>
      <c r="M203" s="11"/>
      <c r="N203" s="11"/>
      <c r="O203" s="21"/>
    </row>
    <row r="204" customFormat="false" ht="21.75" hidden="false" customHeight="true" outlineLevel="0" collapsed="false">
      <c r="A204" s="22"/>
      <c r="B204" s="5"/>
      <c r="C204" s="7"/>
      <c r="D204" s="23"/>
      <c r="E204" s="23"/>
      <c r="F204" s="23"/>
      <c r="G204" s="19" t="str">
        <f aca="false">IFERROR(F204/D204,"")</f>
        <v/>
      </c>
      <c r="H204" s="20" t="str">
        <f aca="false">IFERROR(C204/F204,"")</f>
        <v/>
      </c>
      <c r="I204" s="20" t="str">
        <f aca="false">IFERROR(C204/D204*1000,"")</f>
        <v/>
      </c>
      <c r="J204" s="5"/>
      <c r="K204" s="20" t="str">
        <f aca="false">IFERROR(C204/J204,"")</f>
        <v/>
      </c>
      <c r="L204" s="19" t="str">
        <f aca="false">IFERROR(J204/F204,"")</f>
        <v/>
      </c>
      <c r="M204" s="5"/>
      <c r="N204" s="5"/>
      <c r="O204" s="24"/>
    </row>
  </sheetData>
  <mergeCells count="5">
    <mergeCell ref="A1:O1"/>
    <mergeCell ref="A2:B2"/>
    <mergeCell ref="E2:F2"/>
    <mergeCell ref="H2:O2"/>
    <mergeCell ref="A3:O3"/>
  </mergeCells>
  <conditionalFormatting sqref="K5:K204">
    <cfRule type="expression" priority="2" aboveAverage="0" equalAverage="0" bottom="0" percent="0" rank="0" text="" dxfId="0">
      <formula>AND(B5="Meta Ads",ISNUMBER(K5),ISNUMBER($C$2),K5&lt;=$C$2)</formula>
    </cfRule>
    <cfRule type="expression" priority="3" aboveAverage="0" equalAverage="0" bottom="0" percent="0" rank="0" text="" dxfId="1">
      <formula>AND(B5="Meta Ads",ISNUMBER(K5),ISNUMBER($C$2),K5&gt;$C$2)</formula>
    </cfRule>
    <cfRule type="expression" priority="4" aboveAverage="0" equalAverage="0" bottom="0" percent="0" rank="0" text="" dxfId="0">
      <formula>AND(B5&lt;&gt;"Meta Ads",ISNUMBER(K5),ISNUMBER($G$2),K5&lt;=$G$2)</formula>
    </cfRule>
    <cfRule type="expression" priority="5" aboveAverage="0" equalAverage="0" bottom="0" percent="0" rank="0" text="" dxfId="1">
      <formula>AND(B5&lt;&gt;"Meta Ads",ISNUMBER(K5),ISNUMBER($G$2),K5&gt;$G$2)</formula>
    </cfRule>
  </conditionalFormatting>
  <dataValidations count="1">
    <dataValidation allowBlank="true" error="Selecione: Meta Ads, Google Search ou Google PMax" errorStyle="stop" errorTitle="Plataforma invalida" operator="between" showDropDown="false" showErrorMessage="true" showInputMessage="false" sqref="B5:B204" type="list">
      <formula1>"Meta Ads,Google Search,Google PMax"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5" min="4" style="0" width="13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9" min="8" style="0" width="11"/>
    <col collapsed="false" customWidth="true" hidden="false" outlineLevel="0" max="10" min="10" style="0" width="13"/>
    <col collapsed="false" customWidth="true" hidden="false" outlineLevel="0" max="12" min="11" style="0" width="12"/>
    <col collapsed="false" customWidth="true" hidden="false" outlineLevel="0" max="13" min="13" style="0" width="9"/>
    <col collapsed="false" customWidth="true" hidden="false" outlineLevel="0" max="14" min="14" style="0" width="12"/>
    <col collapsed="false" customWidth="true" hidden="false" outlineLevel="0" max="15" min="15" style="0" width="34"/>
  </cols>
  <sheetData>
    <row r="1" customFormat="false" ht="37.5" hidden="false" customHeight="true" outlineLevel="0" collapsed="false">
      <c r="A1" s="1" t="s">
        <v>38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1.5" hidden="false" customHeight="true" outlineLevel="0" collapsed="false">
      <c r="A2" s="13" t="s">
        <v>22</v>
      </c>
      <c r="B2" s="13"/>
      <c r="C2" s="14"/>
      <c r="E2" s="13" t="s">
        <v>23</v>
      </c>
      <c r="F2" s="13"/>
      <c r="G2" s="14"/>
      <c r="H2" s="15" t="s">
        <v>24</v>
      </c>
      <c r="I2" s="15"/>
      <c r="J2" s="15"/>
      <c r="K2" s="15"/>
      <c r="L2" s="15"/>
      <c r="M2" s="15"/>
      <c r="N2" s="15"/>
      <c r="O2" s="15"/>
    </row>
    <row r="3" customFormat="false" ht="6" hidden="false" customHeight="true" outlineLevel="0" collapsed="false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customFormat="false" ht="48" hidden="false" customHeight="true" outlineLevel="0" collapsed="false">
      <c r="A4" s="3" t="s">
        <v>25</v>
      </c>
      <c r="B4" s="3" t="s">
        <v>3</v>
      </c>
      <c r="C4" s="3" t="s">
        <v>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31</v>
      </c>
      <c r="J4" s="3" t="s">
        <v>32</v>
      </c>
      <c r="K4" s="3" t="s">
        <v>7</v>
      </c>
      <c r="L4" s="3" t="s">
        <v>33</v>
      </c>
      <c r="M4" s="3" t="s">
        <v>34</v>
      </c>
      <c r="N4" s="3" t="s">
        <v>35</v>
      </c>
      <c r="O4" s="3" t="s">
        <v>36</v>
      </c>
    </row>
    <row r="5" customFormat="false" ht="21.75" hidden="false" customHeight="true" outlineLevel="0" collapsed="false">
      <c r="A5" s="17"/>
      <c r="B5" s="11"/>
      <c r="C5" s="12"/>
      <c r="D5" s="18"/>
      <c r="E5" s="18"/>
      <c r="F5" s="18"/>
      <c r="G5" s="19" t="str">
        <f aca="false">IFERROR(F5/D5,"")</f>
        <v/>
      </c>
      <c r="H5" s="20" t="str">
        <f aca="false">IFERROR(C5/F5,"")</f>
        <v/>
      </c>
      <c r="I5" s="20" t="str">
        <f aca="false">IFERROR(C5/D5*1000,"")</f>
        <v/>
      </c>
      <c r="J5" s="11"/>
      <c r="K5" s="20" t="str">
        <f aca="false">IFERROR(C5/J5,"")</f>
        <v/>
      </c>
      <c r="L5" s="19" t="str">
        <f aca="false">IFERROR(J5/F5,"")</f>
        <v/>
      </c>
      <c r="M5" s="11"/>
      <c r="N5" s="11"/>
      <c r="O5" s="21"/>
    </row>
    <row r="6" customFormat="false" ht="21.75" hidden="false" customHeight="true" outlineLevel="0" collapsed="false">
      <c r="A6" s="22"/>
      <c r="B6" s="5"/>
      <c r="C6" s="7"/>
      <c r="D6" s="23"/>
      <c r="E6" s="23"/>
      <c r="F6" s="23"/>
      <c r="G6" s="19" t="str">
        <f aca="false">IFERROR(F6/D6,"")</f>
        <v/>
      </c>
      <c r="H6" s="20" t="str">
        <f aca="false">IFERROR(C6/F6,"")</f>
        <v/>
      </c>
      <c r="I6" s="20" t="str">
        <f aca="false">IFERROR(C6/D6*1000,"")</f>
        <v/>
      </c>
      <c r="J6" s="5"/>
      <c r="K6" s="20" t="str">
        <f aca="false">IFERROR(C6/J6,"")</f>
        <v/>
      </c>
      <c r="L6" s="19" t="str">
        <f aca="false">IFERROR(J6/F6,"")</f>
        <v/>
      </c>
      <c r="M6" s="5"/>
      <c r="N6" s="5"/>
      <c r="O6" s="24"/>
    </row>
    <row r="7" customFormat="false" ht="21.75" hidden="false" customHeight="true" outlineLevel="0" collapsed="false">
      <c r="A7" s="17"/>
      <c r="B7" s="11"/>
      <c r="C7" s="12"/>
      <c r="D7" s="18"/>
      <c r="E7" s="18"/>
      <c r="F7" s="18"/>
      <c r="G7" s="19" t="str">
        <f aca="false">IFERROR(F7/D7,"")</f>
        <v/>
      </c>
      <c r="H7" s="20" t="str">
        <f aca="false">IFERROR(C7/F7,"")</f>
        <v/>
      </c>
      <c r="I7" s="20" t="str">
        <f aca="false">IFERROR(C7/D7*1000,"")</f>
        <v/>
      </c>
      <c r="J7" s="11"/>
      <c r="K7" s="20" t="str">
        <f aca="false">IFERROR(C7/J7,"")</f>
        <v/>
      </c>
      <c r="L7" s="19" t="str">
        <f aca="false">IFERROR(J7/F7,"")</f>
        <v/>
      </c>
      <c r="M7" s="11"/>
      <c r="N7" s="11"/>
      <c r="O7" s="21"/>
    </row>
    <row r="8" customFormat="false" ht="21.75" hidden="false" customHeight="true" outlineLevel="0" collapsed="false">
      <c r="A8" s="22"/>
      <c r="B8" s="5"/>
      <c r="C8" s="7"/>
      <c r="D8" s="23"/>
      <c r="E8" s="23"/>
      <c r="F8" s="23"/>
      <c r="G8" s="19" t="str">
        <f aca="false">IFERROR(F8/D8,"")</f>
        <v/>
      </c>
      <c r="H8" s="20" t="str">
        <f aca="false">IFERROR(C8/F8,"")</f>
        <v/>
      </c>
      <c r="I8" s="20" t="str">
        <f aca="false">IFERROR(C8/D8*1000,"")</f>
        <v/>
      </c>
      <c r="J8" s="5"/>
      <c r="K8" s="20" t="str">
        <f aca="false">IFERROR(C8/J8,"")</f>
        <v/>
      </c>
      <c r="L8" s="19" t="str">
        <f aca="false">IFERROR(J8/F8,"")</f>
        <v/>
      </c>
      <c r="M8" s="5"/>
      <c r="N8" s="5"/>
      <c r="O8" s="24"/>
    </row>
    <row r="9" customFormat="false" ht="21.75" hidden="false" customHeight="true" outlineLevel="0" collapsed="false">
      <c r="A9" s="17"/>
      <c r="B9" s="11"/>
      <c r="C9" s="12"/>
      <c r="D9" s="18"/>
      <c r="E9" s="18"/>
      <c r="F9" s="18"/>
      <c r="G9" s="19" t="str">
        <f aca="false">IFERROR(F9/D9,"")</f>
        <v/>
      </c>
      <c r="H9" s="20" t="str">
        <f aca="false">IFERROR(C9/F9,"")</f>
        <v/>
      </c>
      <c r="I9" s="20" t="str">
        <f aca="false">IFERROR(C9/D9*1000,"")</f>
        <v/>
      </c>
      <c r="J9" s="11"/>
      <c r="K9" s="20" t="str">
        <f aca="false">IFERROR(C9/J9,"")</f>
        <v/>
      </c>
      <c r="L9" s="19" t="str">
        <f aca="false">IFERROR(J9/F9,"")</f>
        <v/>
      </c>
      <c r="M9" s="11"/>
      <c r="N9" s="11"/>
      <c r="O9" s="21"/>
    </row>
    <row r="10" customFormat="false" ht="21.75" hidden="false" customHeight="true" outlineLevel="0" collapsed="false">
      <c r="A10" s="22"/>
      <c r="B10" s="5"/>
      <c r="C10" s="7"/>
      <c r="D10" s="23"/>
      <c r="E10" s="23"/>
      <c r="F10" s="23"/>
      <c r="G10" s="19" t="str">
        <f aca="false">IFERROR(F10/D10,"")</f>
        <v/>
      </c>
      <c r="H10" s="20" t="str">
        <f aca="false">IFERROR(C10/F10,"")</f>
        <v/>
      </c>
      <c r="I10" s="20" t="str">
        <f aca="false">IFERROR(C10/D10*1000,"")</f>
        <v/>
      </c>
      <c r="J10" s="5"/>
      <c r="K10" s="20" t="str">
        <f aca="false">IFERROR(C10/J10,"")</f>
        <v/>
      </c>
      <c r="L10" s="19" t="str">
        <f aca="false">IFERROR(J10/F10,"")</f>
        <v/>
      </c>
      <c r="M10" s="5"/>
      <c r="N10" s="5"/>
      <c r="O10" s="24"/>
    </row>
    <row r="11" customFormat="false" ht="21.75" hidden="false" customHeight="true" outlineLevel="0" collapsed="false">
      <c r="A11" s="17"/>
      <c r="B11" s="11"/>
      <c r="C11" s="12"/>
      <c r="D11" s="18"/>
      <c r="E11" s="18"/>
      <c r="F11" s="18"/>
      <c r="G11" s="19" t="str">
        <f aca="false">IFERROR(F11/D11,"")</f>
        <v/>
      </c>
      <c r="H11" s="20" t="str">
        <f aca="false">IFERROR(C11/F11,"")</f>
        <v/>
      </c>
      <c r="I11" s="20" t="str">
        <f aca="false">IFERROR(C11/D11*1000,"")</f>
        <v/>
      </c>
      <c r="J11" s="11"/>
      <c r="K11" s="20" t="str">
        <f aca="false">IFERROR(C11/J11,"")</f>
        <v/>
      </c>
      <c r="L11" s="19" t="str">
        <f aca="false">IFERROR(J11/F11,"")</f>
        <v/>
      </c>
      <c r="M11" s="11"/>
      <c r="N11" s="11"/>
      <c r="O11" s="21"/>
    </row>
    <row r="12" customFormat="false" ht="21.75" hidden="false" customHeight="true" outlineLevel="0" collapsed="false">
      <c r="A12" s="22"/>
      <c r="B12" s="5"/>
      <c r="C12" s="7"/>
      <c r="D12" s="23"/>
      <c r="E12" s="23"/>
      <c r="F12" s="23"/>
      <c r="G12" s="19" t="str">
        <f aca="false">IFERROR(F12/D12,"")</f>
        <v/>
      </c>
      <c r="H12" s="20" t="str">
        <f aca="false">IFERROR(C12/F12,"")</f>
        <v/>
      </c>
      <c r="I12" s="20" t="str">
        <f aca="false">IFERROR(C12/D12*1000,"")</f>
        <v/>
      </c>
      <c r="J12" s="5"/>
      <c r="K12" s="20" t="str">
        <f aca="false">IFERROR(C12/J12,"")</f>
        <v/>
      </c>
      <c r="L12" s="19" t="str">
        <f aca="false">IFERROR(J12/F12,"")</f>
        <v/>
      </c>
      <c r="M12" s="5"/>
      <c r="N12" s="5"/>
      <c r="O12" s="24"/>
    </row>
    <row r="13" customFormat="false" ht="21.75" hidden="false" customHeight="true" outlineLevel="0" collapsed="false">
      <c r="A13" s="17"/>
      <c r="B13" s="11"/>
      <c r="C13" s="12"/>
      <c r="D13" s="18"/>
      <c r="E13" s="18"/>
      <c r="F13" s="18"/>
      <c r="G13" s="19" t="str">
        <f aca="false">IFERROR(F13/D13,"")</f>
        <v/>
      </c>
      <c r="H13" s="20" t="str">
        <f aca="false">IFERROR(C13/F13,"")</f>
        <v/>
      </c>
      <c r="I13" s="20" t="str">
        <f aca="false">IFERROR(C13/D13*1000,"")</f>
        <v/>
      </c>
      <c r="J13" s="11"/>
      <c r="K13" s="20" t="str">
        <f aca="false">IFERROR(C13/J13,"")</f>
        <v/>
      </c>
      <c r="L13" s="19" t="str">
        <f aca="false">IFERROR(J13/F13,"")</f>
        <v/>
      </c>
      <c r="M13" s="11"/>
      <c r="N13" s="11"/>
      <c r="O13" s="21"/>
    </row>
    <row r="14" customFormat="false" ht="21.75" hidden="false" customHeight="true" outlineLevel="0" collapsed="false">
      <c r="A14" s="22"/>
      <c r="B14" s="5"/>
      <c r="C14" s="7"/>
      <c r="D14" s="23"/>
      <c r="E14" s="23"/>
      <c r="F14" s="23"/>
      <c r="G14" s="19" t="str">
        <f aca="false">IFERROR(F14/D14,"")</f>
        <v/>
      </c>
      <c r="H14" s="20" t="str">
        <f aca="false">IFERROR(C14/F14,"")</f>
        <v/>
      </c>
      <c r="I14" s="20" t="str">
        <f aca="false">IFERROR(C14/D14*1000,"")</f>
        <v/>
      </c>
      <c r="J14" s="5"/>
      <c r="K14" s="20" t="str">
        <f aca="false">IFERROR(C14/J14,"")</f>
        <v/>
      </c>
      <c r="L14" s="19" t="str">
        <f aca="false">IFERROR(J14/F14,"")</f>
        <v/>
      </c>
      <c r="M14" s="5"/>
      <c r="N14" s="5"/>
      <c r="O14" s="24"/>
    </row>
    <row r="15" customFormat="false" ht="21.75" hidden="false" customHeight="true" outlineLevel="0" collapsed="false">
      <c r="A15" s="17"/>
      <c r="B15" s="11"/>
      <c r="C15" s="12"/>
      <c r="D15" s="18"/>
      <c r="E15" s="18"/>
      <c r="F15" s="18"/>
      <c r="G15" s="19" t="str">
        <f aca="false">IFERROR(F15/D15,"")</f>
        <v/>
      </c>
      <c r="H15" s="20" t="str">
        <f aca="false">IFERROR(C15/F15,"")</f>
        <v/>
      </c>
      <c r="I15" s="20" t="str">
        <f aca="false">IFERROR(C15/D15*1000,"")</f>
        <v/>
      </c>
      <c r="J15" s="11"/>
      <c r="K15" s="20" t="str">
        <f aca="false">IFERROR(C15/J15,"")</f>
        <v/>
      </c>
      <c r="L15" s="19" t="str">
        <f aca="false">IFERROR(J15/F15,"")</f>
        <v/>
      </c>
      <c r="M15" s="11"/>
      <c r="N15" s="11"/>
      <c r="O15" s="21"/>
    </row>
    <row r="16" customFormat="false" ht="21.75" hidden="false" customHeight="true" outlineLevel="0" collapsed="false">
      <c r="A16" s="22"/>
      <c r="B16" s="5"/>
      <c r="C16" s="7"/>
      <c r="D16" s="23"/>
      <c r="E16" s="23"/>
      <c r="F16" s="23"/>
      <c r="G16" s="19" t="str">
        <f aca="false">IFERROR(F16/D16,"")</f>
        <v/>
      </c>
      <c r="H16" s="20" t="str">
        <f aca="false">IFERROR(C16/F16,"")</f>
        <v/>
      </c>
      <c r="I16" s="20" t="str">
        <f aca="false">IFERROR(C16/D16*1000,"")</f>
        <v/>
      </c>
      <c r="J16" s="5"/>
      <c r="K16" s="20" t="str">
        <f aca="false">IFERROR(C16/J16,"")</f>
        <v/>
      </c>
      <c r="L16" s="19" t="str">
        <f aca="false">IFERROR(J16/F16,"")</f>
        <v/>
      </c>
      <c r="M16" s="5"/>
      <c r="N16" s="5"/>
      <c r="O16" s="24"/>
    </row>
    <row r="17" customFormat="false" ht="21.75" hidden="false" customHeight="true" outlineLevel="0" collapsed="false">
      <c r="A17" s="17"/>
      <c r="B17" s="11"/>
      <c r="C17" s="12"/>
      <c r="D17" s="18"/>
      <c r="E17" s="18"/>
      <c r="F17" s="18"/>
      <c r="G17" s="19" t="str">
        <f aca="false">IFERROR(F17/D17,"")</f>
        <v/>
      </c>
      <c r="H17" s="20" t="str">
        <f aca="false">IFERROR(C17/F17,"")</f>
        <v/>
      </c>
      <c r="I17" s="20" t="str">
        <f aca="false">IFERROR(C17/D17*1000,"")</f>
        <v/>
      </c>
      <c r="J17" s="11"/>
      <c r="K17" s="20" t="str">
        <f aca="false">IFERROR(C17/J17,"")</f>
        <v/>
      </c>
      <c r="L17" s="19" t="str">
        <f aca="false">IFERROR(J17/F17,"")</f>
        <v/>
      </c>
      <c r="M17" s="11"/>
      <c r="N17" s="11"/>
      <c r="O17" s="21"/>
    </row>
    <row r="18" customFormat="false" ht="21.75" hidden="false" customHeight="true" outlineLevel="0" collapsed="false">
      <c r="A18" s="22"/>
      <c r="B18" s="5"/>
      <c r="C18" s="7"/>
      <c r="D18" s="23"/>
      <c r="E18" s="23"/>
      <c r="F18" s="23"/>
      <c r="G18" s="19" t="str">
        <f aca="false">IFERROR(F18/D18,"")</f>
        <v/>
      </c>
      <c r="H18" s="20" t="str">
        <f aca="false">IFERROR(C18/F18,"")</f>
        <v/>
      </c>
      <c r="I18" s="20" t="str">
        <f aca="false">IFERROR(C18/D18*1000,"")</f>
        <v/>
      </c>
      <c r="J18" s="5"/>
      <c r="K18" s="20" t="str">
        <f aca="false">IFERROR(C18/J18,"")</f>
        <v/>
      </c>
      <c r="L18" s="19" t="str">
        <f aca="false">IFERROR(J18/F18,"")</f>
        <v/>
      </c>
      <c r="M18" s="5"/>
      <c r="N18" s="5"/>
      <c r="O18" s="24"/>
    </row>
    <row r="19" customFormat="false" ht="21.75" hidden="false" customHeight="true" outlineLevel="0" collapsed="false">
      <c r="A19" s="17"/>
      <c r="B19" s="11"/>
      <c r="C19" s="12"/>
      <c r="D19" s="18"/>
      <c r="E19" s="18"/>
      <c r="F19" s="18"/>
      <c r="G19" s="19" t="str">
        <f aca="false">IFERROR(F19/D19,"")</f>
        <v/>
      </c>
      <c r="H19" s="20" t="str">
        <f aca="false">IFERROR(C19/F19,"")</f>
        <v/>
      </c>
      <c r="I19" s="20" t="str">
        <f aca="false">IFERROR(C19/D19*1000,"")</f>
        <v/>
      </c>
      <c r="J19" s="11"/>
      <c r="K19" s="20" t="str">
        <f aca="false">IFERROR(C19/J19,"")</f>
        <v/>
      </c>
      <c r="L19" s="19" t="str">
        <f aca="false">IFERROR(J19/F19,"")</f>
        <v/>
      </c>
      <c r="M19" s="11"/>
      <c r="N19" s="11"/>
      <c r="O19" s="21"/>
    </row>
    <row r="20" customFormat="false" ht="21.75" hidden="false" customHeight="true" outlineLevel="0" collapsed="false">
      <c r="A20" s="22"/>
      <c r="B20" s="5"/>
      <c r="C20" s="7"/>
      <c r="D20" s="23"/>
      <c r="E20" s="23"/>
      <c r="F20" s="23"/>
      <c r="G20" s="19" t="str">
        <f aca="false">IFERROR(F20/D20,"")</f>
        <v/>
      </c>
      <c r="H20" s="20" t="str">
        <f aca="false">IFERROR(C20/F20,"")</f>
        <v/>
      </c>
      <c r="I20" s="20" t="str">
        <f aca="false">IFERROR(C20/D20*1000,"")</f>
        <v/>
      </c>
      <c r="J20" s="5"/>
      <c r="K20" s="20" t="str">
        <f aca="false">IFERROR(C20/J20,"")</f>
        <v/>
      </c>
      <c r="L20" s="19" t="str">
        <f aca="false">IFERROR(J20/F20,"")</f>
        <v/>
      </c>
      <c r="M20" s="5"/>
      <c r="N20" s="5"/>
      <c r="O20" s="24"/>
    </row>
    <row r="21" customFormat="false" ht="21.75" hidden="false" customHeight="true" outlineLevel="0" collapsed="false">
      <c r="A21" s="17"/>
      <c r="B21" s="11"/>
      <c r="C21" s="12"/>
      <c r="D21" s="18"/>
      <c r="E21" s="18"/>
      <c r="F21" s="18"/>
      <c r="G21" s="19" t="str">
        <f aca="false">IFERROR(F21/D21,"")</f>
        <v/>
      </c>
      <c r="H21" s="20" t="str">
        <f aca="false">IFERROR(C21/F21,"")</f>
        <v/>
      </c>
      <c r="I21" s="20" t="str">
        <f aca="false">IFERROR(C21/D21*1000,"")</f>
        <v/>
      </c>
      <c r="J21" s="11"/>
      <c r="K21" s="20" t="str">
        <f aca="false">IFERROR(C21/J21,"")</f>
        <v/>
      </c>
      <c r="L21" s="19" t="str">
        <f aca="false">IFERROR(J21/F21,"")</f>
        <v/>
      </c>
      <c r="M21" s="11"/>
      <c r="N21" s="11"/>
      <c r="O21" s="21"/>
    </row>
    <row r="22" customFormat="false" ht="21.75" hidden="false" customHeight="true" outlineLevel="0" collapsed="false">
      <c r="A22" s="22"/>
      <c r="B22" s="5"/>
      <c r="C22" s="7"/>
      <c r="D22" s="23"/>
      <c r="E22" s="23"/>
      <c r="F22" s="23"/>
      <c r="G22" s="19" t="str">
        <f aca="false">IFERROR(F22/D22,"")</f>
        <v/>
      </c>
      <c r="H22" s="20" t="str">
        <f aca="false">IFERROR(C22/F22,"")</f>
        <v/>
      </c>
      <c r="I22" s="20" t="str">
        <f aca="false">IFERROR(C22/D22*1000,"")</f>
        <v/>
      </c>
      <c r="J22" s="5"/>
      <c r="K22" s="20" t="str">
        <f aca="false">IFERROR(C22/J22,"")</f>
        <v/>
      </c>
      <c r="L22" s="19" t="str">
        <f aca="false">IFERROR(J22/F22,"")</f>
        <v/>
      </c>
      <c r="M22" s="5"/>
      <c r="N22" s="5"/>
      <c r="O22" s="24"/>
    </row>
    <row r="23" customFormat="false" ht="21.75" hidden="false" customHeight="true" outlineLevel="0" collapsed="false">
      <c r="A23" s="17"/>
      <c r="B23" s="11"/>
      <c r="C23" s="12"/>
      <c r="D23" s="18"/>
      <c r="E23" s="18"/>
      <c r="F23" s="18"/>
      <c r="G23" s="19" t="str">
        <f aca="false">IFERROR(F23/D23,"")</f>
        <v/>
      </c>
      <c r="H23" s="20" t="str">
        <f aca="false">IFERROR(C23/F23,"")</f>
        <v/>
      </c>
      <c r="I23" s="20" t="str">
        <f aca="false">IFERROR(C23/D23*1000,"")</f>
        <v/>
      </c>
      <c r="J23" s="11"/>
      <c r="K23" s="20" t="str">
        <f aca="false">IFERROR(C23/J23,"")</f>
        <v/>
      </c>
      <c r="L23" s="19" t="str">
        <f aca="false">IFERROR(J23/F23,"")</f>
        <v/>
      </c>
      <c r="M23" s="11"/>
      <c r="N23" s="11"/>
      <c r="O23" s="21"/>
    </row>
    <row r="24" customFormat="false" ht="21.75" hidden="false" customHeight="true" outlineLevel="0" collapsed="false">
      <c r="A24" s="22"/>
      <c r="B24" s="5"/>
      <c r="C24" s="7"/>
      <c r="D24" s="23"/>
      <c r="E24" s="23"/>
      <c r="F24" s="23"/>
      <c r="G24" s="19" t="str">
        <f aca="false">IFERROR(F24/D24,"")</f>
        <v/>
      </c>
      <c r="H24" s="20" t="str">
        <f aca="false">IFERROR(C24/F24,"")</f>
        <v/>
      </c>
      <c r="I24" s="20" t="str">
        <f aca="false">IFERROR(C24/D24*1000,"")</f>
        <v/>
      </c>
      <c r="J24" s="5"/>
      <c r="K24" s="20" t="str">
        <f aca="false">IFERROR(C24/J24,"")</f>
        <v/>
      </c>
      <c r="L24" s="19" t="str">
        <f aca="false">IFERROR(J24/F24,"")</f>
        <v/>
      </c>
      <c r="M24" s="5"/>
      <c r="N24" s="5"/>
      <c r="O24" s="24"/>
    </row>
    <row r="25" customFormat="false" ht="21.75" hidden="false" customHeight="true" outlineLevel="0" collapsed="false">
      <c r="A25" s="17"/>
      <c r="B25" s="11"/>
      <c r="C25" s="12"/>
      <c r="D25" s="18"/>
      <c r="E25" s="18"/>
      <c r="F25" s="18"/>
      <c r="G25" s="19" t="str">
        <f aca="false">IFERROR(F25/D25,"")</f>
        <v/>
      </c>
      <c r="H25" s="20" t="str">
        <f aca="false">IFERROR(C25/F25,"")</f>
        <v/>
      </c>
      <c r="I25" s="20" t="str">
        <f aca="false">IFERROR(C25/D25*1000,"")</f>
        <v/>
      </c>
      <c r="J25" s="11"/>
      <c r="K25" s="20" t="str">
        <f aca="false">IFERROR(C25/J25,"")</f>
        <v/>
      </c>
      <c r="L25" s="19" t="str">
        <f aca="false">IFERROR(J25/F25,"")</f>
        <v/>
      </c>
      <c r="M25" s="11"/>
      <c r="N25" s="11"/>
      <c r="O25" s="21"/>
    </row>
    <row r="26" customFormat="false" ht="21.75" hidden="false" customHeight="true" outlineLevel="0" collapsed="false">
      <c r="A26" s="22"/>
      <c r="B26" s="5"/>
      <c r="C26" s="7"/>
      <c r="D26" s="23"/>
      <c r="E26" s="23"/>
      <c r="F26" s="23"/>
      <c r="G26" s="19" t="str">
        <f aca="false">IFERROR(F26/D26,"")</f>
        <v/>
      </c>
      <c r="H26" s="20" t="str">
        <f aca="false">IFERROR(C26/F26,"")</f>
        <v/>
      </c>
      <c r="I26" s="20" t="str">
        <f aca="false">IFERROR(C26/D26*1000,"")</f>
        <v/>
      </c>
      <c r="J26" s="5"/>
      <c r="K26" s="20" t="str">
        <f aca="false">IFERROR(C26/J26,"")</f>
        <v/>
      </c>
      <c r="L26" s="19" t="str">
        <f aca="false">IFERROR(J26/F26,"")</f>
        <v/>
      </c>
      <c r="M26" s="5"/>
      <c r="N26" s="5"/>
      <c r="O26" s="24"/>
    </row>
    <row r="27" customFormat="false" ht="21.75" hidden="false" customHeight="true" outlineLevel="0" collapsed="false">
      <c r="A27" s="17"/>
      <c r="B27" s="11"/>
      <c r="C27" s="12"/>
      <c r="D27" s="18"/>
      <c r="E27" s="18"/>
      <c r="F27" s="18"/>
      <c r="G27" s="19" t="str">
        <f aca="false">IFERROR(F27/D27,"")</f>
        <v/>
      </c>
      <c r="H27" s="20" t="str">
        <f aca="false">IFERROR(C27/F27,"")</f>
        <v/>
      </c>
      <c r="I27" s="20" t="str">
        <f aca="false">IFERROR(C27/D27*1000,"")</f>
        <v/>
      </c>
      <c r="J27" s="11"/>
      <c r="K27" s="20" t="str">
        <f aca="false">IFERROR(C27/J27,"")</f>
        <v/>
      </c>
      <c r="L27" s="19" t="str">
        <f aca="false">IFERROR(J27/F27,"")</f>
        <v/>
      </c>
      <c r="M27" s="11"/>
      <c r="N27" s="11"/>
      <c r="O27" s="21"/>
    </row>
    <row r="28" customFormat="false" ht="21.75" hidden="false" customHeight="true" outlineLevel="0" collapsed="false">
      <c r="A28" s="22"/>
      <c r="B28" s="5"/>
      <c r="C28" s="7"/>
      <c r="D28" s="23"/>
      <c r="E28" s="23"/>
      <c r="F28" s="23"/>
      <c r="G28" s="19" t="str">
        <f aca="false">IFERROR(F28/D28,"")</f>
        <v/>
      </c>
      <c r="H28" s="20" t="str">
        <f aca="false">IFERROR(C28/F28,"")</f>
        <v/>
      </c>
      <c r="I28" s="20" t="str">
        <f aca="false">IFERROR(C28/D28*1000,"")</f>
        <v/>
      </c>
      <c r="J28" s="5"/>
      <c r="K28" s="20" t="str">
        <f aca="false">IFERROR(C28/J28,"")</f>
        <v/>
      </c>
      <c r="L28" s="19" t="str">
        <f aca="false">IFERROR(J28/F28,"")</f>
        <v/>
      </c>
      <c r="M28" s="5"/>
      <c r="N28" s="5"/>
      <c r="O28" s="24"/>
    </row>
    <row r="29" customFormat="false" ht="21.75" hidden="false" customHeight="true" outlineLevel="0" collapsed="false">
      <c r="A29" s="17"/>
      <c r="B29" s="11"/>
      <c r="C29" s="12"/>
      <c r="D29" s="18"/>
      <c r="E29" s="18"/>
      <c r="F29" s="18"/>
      <c r="G29" s="19" t="str">
        <f aca="false">IFERROR(F29/D29,"")</f>
        <v/>
      </c>
      <c r="H29" s="20" t="str">
        <f aca="false">IFERROR(C29/F29,"")</f>
        <v/>
      </c>
      <c r="I29" s="20" t="str">
        <f aca="false">IFERROR(C29/D29*1000,"")</f>
        <v/>
      </c>
      <c r="J29" s="11"/>
      <c r="K29" s="20" t="str">
        <f aca="false">IFERROR(C29/J29,"")</f>
        <v/>
      </c>
      <c r="L29" s="19" t="str">
        <f aca="false">IFERROR(J29/F29,"")</f>
        <v/>
      </c>
      <c r="M29" s="11"/>
      <c r="N29" s="11"/>
      <c r="O29" s="21"/>
    </row>
    <row r="30" customFormat="false" ht="21.75" hidden="false" customHeight="true" outlineLevel="0" collapsed="false">
      <c r="A30" s="22"/>
      <c r="B30" s="5"/>
      <c r="C30" s="7"/>
      <c r="D30" s="23"/>
      <c r="E30" s="23"/>
      <c r="F30" s="23"/>
      <c r="G30" s="19" t="str">
        <f aca="false">IFERROR(F30/D30,"")</f>
        <v/>
      </c>
      <c r="H30" s="20" t="str">
        <f aca="false">IFERROR(C30/F30,"")</f>
        <v/>
      </c>
      <c r="I30" s="20" t="str">
        <f aca="false">IFERROR(C30/D30*1000,"")</f>
        <v/>
      </c>
      <c r="J30" s="5"/>
      <c r="K30" s="20" t="str">
        <f aca="false">IFERROR(C30/J30,"")</f>
        <v/>
      </c>
      <c r="L30" s="19" t="str">
        <f aca="false">IFERROR(J30/F30,"")</f>
        <v/>
      </c>
      <c r="M30" s="5"/>
      <c r="N30" s="5"/>
      <c r="O30" s="24"/>
    </row>
    <row r="31" customFormat="false" ht="21.75" hidden="false" customHeight="true" outlineLevel="0" collapsed="false">
      <c r="A31" s="17"/>
      <c r="B31" s="11"/>
      <c r="C31" s="12"/>
      <c r="D31" s="18"/>
      <c r="E31" s="18"/>
      <c r="F31" s="18"/>
      <c r="G31" s="19" t="str">
        <f aca="false">IFERROR(F31/D31,"")</f>
        <v/>
      </c>
      <c r="H31" s="20" t="str">
        <f aca="false">IFERROR(C31/F31,"")</f>
        <v/>
      </c>
      <c r="I31" s="20" t="str">
        <f aca="false">IFERROR(C31/D31*1000,"")</f>
        <v/>
      </c>
      <c r="J31" s="11"/>
      <c r="K31" s="20" t="str">
        <f aca="false">IFERROR(C31/J31,"")</f>
        <v/>
      </c>
      <c r="L31" s="19" t="str">
        <f aca="false">IFERROR(J31/F31,"")</f>
        <v/>
      </c>
      <c r="M31" s="11"/>
      <c r="N31" s="11"/>
      <c r="O31" s="21"/>
    </row>
    <row r="32" customFormat="false" ht="21.75" hidden="false" customHeight="true" outlineLevel="0" collapsed="false">
      <c r="A32" s="22"/>
      <c r="B32" s="5"/>
      <c r="C32" s="7"/>
      <c r="D32" s="23"/>
      <c r="E32" s="23"/>
      <c r="F32" s="23"/>
      <c r="G32" s="19" t="str">
        <f aca="false">IFERROR(F32/D32,"")</f>
        <v/>
      </c>
      <c r="H32" s="20" t="str">
        <f aca="false">IFERROR(C32/F32,"")</f>
        <v/>
      </c>
      <c r="I32" s="20" t="str">
        <f aca="false">IFERROR(C32/D32*1000,"")</f>
        <v/>
      </c>
      <c r="J32" s="5"/>
      <c r="K32" s="20" t="str">
        <f aca="false">IFERROR(C32/J32,"")</f>
        <v/>
      </c>
      <c r="L32" s="19" t="str">
        <f aca="false">IFERROR(J32/F32,"")</f>
        <v/>
      </c>
      <c r="M32" s="5"/>
      <c r="N32" s="5"/>
      <c r="O32" s="24"/>
    </row>
    <row r="33" customFormat="false" ht="21.75" hidden="false" customHeight="true" outlineLevel="0" collapsed="false">
      <c r="A33" s="17"/>
      <c r="B33" s="11"/>
      <c r="C33" s="12"/>
      <c r="D33" s="18"/>
      <c r="E33" s="18"/>
      <c r="F33" s="18"/>
      <c r="G33" s="19" t="str">
        <f aca="false">IFERROR(F33/D33,"")</f>
        <v/>
      </c>
      <c r="H33" s="20" t="str">
        <f aca="false">IFERROR(C33/F33,"")</f>
        <v/>
      </c>
      <c r="I33" s="20" t="str">
        <f aca="false">IFERROR(C33/D33*1000,"")</f>
        <v/>
      </c>
      <c r="J33" s="11"/>
      <c r="K33" s="20" t="str">
        <f aca="false">IFERROR(C33/J33,"")</f>
        <v/>
      </c>
      <c r="L33" s="19" t="str">
        <f aca="false">IFERROR(J33/F33,"")</f>
        <v/>
      </c>
      <c r="M33" s="11"/>
      <c r="N33" s="11"/>
      <c r="O33" s="21"/>
    </row>
    <row r="34" customFormat="false" ht="21.75" hidden="false" customHeight="true" outlineLevel="0" collapsed="false">
      <c r="A34" s="22"/>
      <c r="B34" s="5"/>
      <c r="C34" s="7"/>
      <c r="D34" s="23"/>
      <c r="E34" s="23"/>
      <c r="F34" s="23"/>
      <c r="G34" s="19" t="str">
        <f aca="false">IFERROR(F34/D34,"")</f>
        <v/>
      </c>
      <c r="H34" s="20" t="str">
        <f aca="false">IFERROR(C34/F34,"")</f>
        <v/>
      </c>
      <c r="I34" s="20" t="str">
        <f aca="false">IFERROR(C34/D34*1000,"")</f>
        <v/>
      </c>
      <c r="J34" s="5"/>
      <c r="K34" s="20" t="str">
        <f aca="false">IFERROR(C34/J34,"")</f>
        <v/>
      </c>
      <c r="L34" s="19" t="str">
        <f aca="false">IFERROR(J34/F34,"")</f>
        <v/>
      </c>
      <c r="M34" s="5"/>
      <c r="N34" s="5"/>
      <c r="O34" s="24"/>
    </row>
    <row r="35" customFormat="false" ht="21.75" hidden="false" customHeight="true" outlineLevel="0" collapsed="false">
      <c r="A35" s="17"/>
      <c r="B35" s="11"/>
      <c r="C35" s="12"/>
      <c r="D35" s="18"/>
      <c r="E35" s="18"/>
      <c r="F35" s="18"/>
      <c r="G35" s="19" t="str">
        <f aca="false">IFERROR(F35/D35,"")</f>
        <v/>
      </c>
      <c r="H35" s="20" t="str">
        <f aca="false">IFERROR(C35/F35,"")</f>
        <v/>
      </c>
      <c r="I35" s="20" t="str">
        <f aca="false">IFERROR(C35/D35*1000,"")</f>
        <v/>
      </c>
      <c r="J35" s="11"/>
      <c r="K35" s="20" t="str">
        <f aca="false">IFERROR(C35/J35,"")</f>
        <v/>
      </c>
      <c r="L35" s="19" t="str">
        <f aca="false">IFERROR(J35/F35,"")</f>
        <v/>
      </c>
      <c r="M35" s="11"/>
      <c r="N35" s="11"/>
      <c r="O35" s="21"/>
    </row>
    <row r="36" customFormat="false" ht="21.75" hidden="false" customHeight="true" outlineLevel="0" collapsed="false">
      <c r="A36" s="22"/>
      <c r="B36" s="5"/>
      <c r="C36" s="7"/>
      <c r="D36" s="23"/>
      <c r="E36" s="23"/>
      <c r="F36" s="23"/>
      <c r="G36" s="19" t="str">
        <f aca="false">IFERROR(F36/D36,"")</f>
        <v/>
      </c>
      <c r="H36" s="20" t="str">
        <f aca="false">IFERROR(C36/F36,"")</f>
        <v/>
      </c>
      <c r="I36" s="20" t="str">
        <f aca="false">IFERROR(C36/D36*1000,"")</f>
        <v/>
      </c>
      <c r="J36" s="5"/>
      <c r="K36" s="20" t="str">
        <f aca="false">IFERROR(C36/J36,"")</f>
        <v/>
      </c>
      <c r="L36" s="19" t="str">
        <f aca="false">IFERROR(J36/F36,"")</f>
        <v/>
      </c>
      <c r="M36" s="5"/>
      <c r="N36" s="5"/>
      <c r="O36" s="24"/>
    </row>
    <row r="37" customFormat="false" ht="21.75" hidden="false" customHeight="true" outlineLevel="0" collapsed="false">
      <c r="A37" s="17"/>
      <c r="B37" s="11"/>
      <c r="C37" s="12"/>
      <c r="D37" s="18"/>
      <c r="E37" s="18"/>
      <c r="F37" s="18"/>
      <c r="G37" s="19" t="str">
        <f aca="false">IFERROR(F37/D37,"")</f>
        <v/>
      </c>
      <c r="H37" s="20" t="str">
        <f aca="false">IFERROR(C37/F37,"")</f>
        <v/>
      </c>
      <c r="I37" s="20" t="str">
        <f aca="false">IFERROR(C37/D37*1000,"")</f>
        <v/>
      </c>
      <c r="J37" s="11"/>
      <c r="K37" s="20" t="str">
        <f aca="false">IFERROR(C37/J37,"")</f>
        <v/>
      </c>
      <c r="L37" s="19" t="str">
        <f aca="false">IFERROR(J37/F37,"")</f>
        <v/>
      </c>
      <c r="M37" s="11"/>
      <c r="N37" s="11"/>
      <c r="O37" s="21"/>
    </row>
    <row r="38" customFormat="false" ht="21.75" hidden="false" customHeight="true" outlineLevel="0" collapsed="false">
      <c r="A38" s="22"/>
      <c r="B38" s="5"/>
      <c r="C38" s="7"/>
      <c r="D38" s="23"/>
      <c r="E38" s="23"/>
      <c r="F38" s="23"/>
      <c r="G38" s="19" t="str">
        <f aca="false">IFERROR(F38/D38,"")</f>
        <v/>
      </c>
      <c r="H38" s="20" t="str">
        <f aca="false">IFERROR(C38/F38,"")</f>
        <v/>
      </c>
      <c r="I38" s="20" t="str">
        <f aca="false">IFERROR(C38/D38*1000,"")</f>
        <v/>
      </c>
      <c r="J38" s="5"/>
      <c r="K38" s="20" t="str">
        <f aca="false">IFERROR(C38/J38,"")</f>
        <v/>
      </c>
      <c r="L38" s="19" t="str">
        <f aca="false">IFERROR(J38/F38,"")</f>
        <v/>
      </c>
      <c r="M38" s="5"/>
      <c r="N38" s="5"/>
      <c r="O38" s="24"/>
    </row>
    <row r="39" customFormat="false" ht="21.75" hidden="false" customHeight="true" outlineLevel="0" collapsed="false">
      <c r="A39" s="17"/>
      <c r="B39" s="11"/>
      <c r="C39" s="12"/>
      <c r="D39" s="18"/>
      <c r="E39" s="18"/>
      <c r="F39" s="18"/>
      <c r="G39" s="19" t="str">
        <f aca="false">IFERROR(F39/D39,"")</f>
        <v/>
      </c>
      <c r="H39" s="20" t="str">
        <f aca="false">IFERROR(C39/F39,"")</f>
        <v/>
      </c>
      <c r="I39" s="20" t="str">
        <f aca="false">IFERROR(C39/D39*1000,"")</f>
        <v/>
      </c>
      <c r="J39" s="11"/>
      <c r="K39" s="20" t="str">
        <f aca="false">IFERROR(C39/J39,"")</f>
        <v/>
      </c>
      <c r="L39" s="19" t="str">
        <f aca="false">IFERROR(J39/F39,"")</f>
        <v/>
      </c>
      <c r="M39" s="11"/>
      <c r="N39" s="11"/>
      <c r="O39" s="21"/>
    </row>
    <row r="40" customFormat="false" ht="21.75" hidden="false" customHeight="true" outlineLevel="0" collapsed="false">
      <c r="A40" s="22"/>
      <c r="B40" s="5"/>
      <c r="C40" s="7"/>
      <c r="D40" s="23"/>
      <c r="E40" s="23"/>
      <c r="F40" s="23"/>
      <c r="G40" s="19" t="str">
        <f aca="false">IFERROR(F40/D40,"")</f>
        <v/>
      </c>
      <c r="H40" s="20" t="str">
        <f aca="false">IFERROR(C40/F40,"")</f>
        <v/>
      </c>
      <c r="I40" s="20" t="str">
        <f aca="false">IFERROR(C40/D40*1000,"")</f>
        <v/>
      </c>
      <c r="J40" s="5"/>
      <c r="K40" s="20" t="str">
        <f aca="false">IFERROR(C40/J40,"")</f>
        <v/>
      </c>
      <c r="L40" s="19" t="str">
        <f aca="false">IFERROR(J40/F40,"")</f>
        <v/>
      </c>
      <c r="M40" s="5"/>
      <c r="N40" s="5"/>
      <c r="O40" s="24"/>
    </row>
    <row r="41" customFormat="false" ht="21.75" hidden="false" customHeight="true" outlineLevel="0" collapsed="false">
      <c r="A41" s="17"/>
      <c r="B41" s="11"/>
      <c r="C41" s="12"/>
      <c r="D41" s="18"/>
      <c r="E41" s="18"/>
      <c r="F41" s="18"/>
      <c r="G41" s="19" t="str">
        <f aca="false">IFERROR(F41/D41,"")</f>
        <v/>
      </c>
      <c r="H41" s="20" t="str">
        <f aca="false">IFERROR(C41/F41,"")</f>
        <v/>
      </c>
      <c r="I41" s="20" t="str">
        <f aca="false">IFERROR(C41/D41*1000,"")</f>
        <v/>
      </c>
      <c r="J41" s="11"/>
      <c r="K41" s="20" t="str">
        <f aca="false">IFERROR(C41/J41,"")</f>
        <v/>
      </c>
      <c r="L41" s="19" t="str">
        <f aca="false">IFERROR(J41/F41,"")</f>
        <v/>
      </c>
      <c r="M41" s="11"/>
      <c r="N41" s="11"/>
      <c r="O41" s="21"/>
    </row>
    <row r="42" customFormat="false" ht="21.75" hidden="false" customHeight="true" outlineLevel="0" collapsed="false">
      <c r="A42" s="22"/>
      <c r="B42" s="5"/>
      <c r="C42" s="7"/>
      <c r="D42" s="23"/>
      <c r="E42" s="23"/>
      <c r="F42" s="23"/>
      <c r="G42" s="19" t="str">
        <f aca="false">IFERROR(F42/D42,"")</f>
        <v/>
      </c>
      <c r="H42" s="20" t="str">
        <f aca="false">IFERROR(C42/F42,"")</f>
        <v/>
      </c>
      <c r="I42" s="20" t="str">
        <f aca="false">IFERROR(C42/D42*1000,"")</f>
        <v/>
      </c>
      <c r="J42" s="5"/>
      <c r="K42" s="20" t="str">
        <f aca="false">IFERROR(C42/J42,"")</f>
        <v/>
      </c>
      <c r="L42" s="19" t="str">
        <f aca="false">IFERROR(J42/F42,"")</f>
        <v/>
      </c>
      <c r="M42" s="5"/>
      <c r="N42" s="5"/>
      <c r="O42" s="24"/>
    </row>
    <row r="43" customFormat="false" ht="21.75" hidden="false" customHeight="true" outlineLevel="0" collapsed="false">
      <c r="A43" s="17"/>
      <c r="B43" s="11"/>
      <c r="C43" s="12"/>
      <c r="D43" s="18"/>
      <c r="E43" s="18"/>
      <c r="F43" s="18"/>
      <c r="G43" s="19" t="str">
        <f aca="false">IFERROR(F43/D43,"")</f>
        <v/>
      </c>
      <c r="H43" s="20" t="str">
        <f aca="false">IFERROR(C43/F43,"")</f>
        <v/>
      </c>
      <c r="I43" s="20" t="str">
        <f aca="false">IFERROR(C43/D43*1000,"")</f>
        <v/>
      </c>
      <c r="J43" s="11"/>
      <c r="K43" s="20" t="str">
        <f aca="false">IFERROR(C43/J43,"")</f>
        <v/>
      </c>
      <c r="L43" s="19" t="str">
        <f aca="false">IFERROR(J43/F43,"")</f>
        <v/>
      </c>
      <c r="M43" s="11"/>
      <c r="N43" s="11"/>
      <c r="O43" s="21"/>
    </row>
    <row r="44" customFormat="false" ht="21.75" hidden="false" customHeight="true" outlineLevel="0" collapsed="false">
      <c r="A44" s="22"/>
      <c r="B44" s="5"/>
      <c r="C44" s="7"/>
      <c r="D44" s="23"/>
      <c r="E44" s="23"/>
      <c r="F44" s="23"/>
      <c r="G44" s="19" t="str">
        <f aca="false">IFERROR(F44/D44,"")</f>
        <v/>
      </c>
      <c r="H44" s="20" t="str">
        <f aca="false">IFERROR(C44/F44,"")</f>
        <v/>
      </c>
      <c r="I44" s="20" t="str">
        <f aca="false">IFERROR(C44/D44*1000,"")</f>
        <v/>
      </c>
      <c r="J44" s="5"/>
      <c r="K44" s="20" t="str">
        <f aca="false">IFERROR(C44/J44,"")</f>
        <v/>
      </c>
      <c r="L44" s="19" t="str">
        <f aca="false">IFERROR(J44/F44,"")</f>
        <v/>
      </c>
      <c r="M44" s="5"/>
      <c r="N44" s="5"/>
      <c r="O44" s="24"/>
    </row>
    <row r="45" customFormat="false" ht="21.75" hidden="false" customHeight="true" outlineLevel="0" collapsed="false">
      <c r="A45" s="17"/>
      <c r="B45" s="11"/>
      <c r="C45" s="12"/>
      <c r="D45" s="18"/>
      <c r="E45" s="18"/>
      <c r="F45" s="18"/>
      <c r="G45" s="19" t="str">
        <f aca="false">IFERROR(F45/D45,"")</f>
        <v/>
      </c>
      <c r="H45" s="20" t="str">
        <f aca="false">IFERROR(C45/F45,"")</f>
        <v/>
      </c>
      <c r="I45" s="20" t="str">
        <f aca="false">IFERROR(C45/D45*1000,"")</f>
        <v/>
      </c>
      <c r="J45" s="11"/>
      <c r="K45" s="20" t="str">
        <f aca="false">IFERROR(C45/J45,"")</f>
        <v/>
      </c>
      <c r="L45" s="19" t="str">
        <f aca="false">IFERROR(J45/F45,"")</f>
        <v/>
      </c>
      <c r="M45" s="11"/>
      <c r="N45" s="11"/>
      <c r="O45" s="21"/>
    </row>
    <row r="46" customFormat="false" ht="21.75" hidden="false" customHeight="true" outlineLevel="0" collapsed="false">
      <c r="A46" s="22"/>
      <c r="B46" s="5"/>
      <c r="C46" s="7"/>
      <c r="D46" s="23"/>
      <c r="E46" s="23"/>
      <c r="F46" s="23"/>
      <c r="G46" s="19" t="str">
        <f aca="false">IFERROR(F46/D46,"")</f>
        <v/>
      </c>
      <c r="H46" s="20" t="str">
        <f aca="false">IFERROR(C46/F46,"")</f>
        <v/>
      </c>
      <c r="I46" s="20" t="str">
        <f aca="false">IFERROR(C46/D46*1000,"")</f>
        <v/>
      </c>
      <c r="J46" s="5"/>
      <c r="K46" s="20" t="str">
        <f aca="false">IFERROR(C46/J46,"")</f>
        <v/>
      </c>
      <c r="L46" s="19" t="str">
        <f aca="false">IFERROR(J46/F46,"")</f>
        <v/>
      </c>
      <c r="M46" s="5"/>
      <c r="N46" s="5"/>
      <c r="O46" s="24"/>
    </row>
    <row r="47" customFormat="false" ht="21.75" hidden="false" customHeight="true" outlineLevel="0" collapsed="false">
      <c r="A47" s="17"/>
      <c r="B47" s="11"/>
      <c r="C47" s="12"/>
      <c r="D47" s="18"/>
      <c r="E47" s="18"/>
      <c r="F47" s="18"/>
      <c r="G47" s="19" t="str">
        <f aca="false">IFERROR(F47/D47,"")</f>
        <v/>
      </c>
      <c r="H47" s="20" t="str">
        <f aca="false">IFERROR(C47/F47,"")</f>
        <v/>
      </c>
      <c r="I47" s="20" t="str">
        <f aca="false">IFERROR(C47/D47*1000,"")</f>
        <v/>
      </c>
      <c r="J47" s="11"/>
      <c r="K47" s="20" t="str">
        <f aca="false">IFERROR(C47/J47,"")</f>
        <v/>
      </c>
      <c r="L47" s="19" t="str">
        <f aca="false">IFERROR(J47/F47,"")</f>
        <v/>
      </c>
      <c r="M47" s="11"/>
      <c r="N47" s="11"/>
      <c r="O47" s="21"/>
    </row>
    <row r="48" customFormat="false" ht="21.75" hidden="false" customHeight="true" outlineLevel="0" collapsed="false">
      <c r="A48" s="22"/>
      <c r="B48" s="5"/>
      <c r="C48" s="7"/>
      <c r="D48" s="23"/>
      <c r="E48" s="23"/>
      <c r="F48" s="23"/>
      <c r="G48" s="19" t="str">
        <f aca="false">IFERROR(F48/D48,"")</f>
        <v/>
      </c>
      <c r="H48" s="20" t="str">
        <f aca="false">IFERROR(C48/F48,"")</f>
        <v/>
      </c>
      <c r="I48" s="20" t="str">
        <f aca="false">IFERROR(C48/D48*1000,"")</f>
        <v/>
      </c>
      <c r="J48" s="5"/>
      <c r="K48" s="20" t="str">
        <f aca="false">IFERROR(C48/J48,"")</f>
        <v/>
      </c>
      <c r="L48" s="19" t="str">
        <f aca="false">IFERROR(J48/F48,"")</f>
        <v/>
      </c>
      <c r="M48" s="5"/>
      <c r="N48" s="5"/>
      <c r="O48" s="24"/>
    </row>
    <row r="49" customFormat="false" ht="21.75" hidden="false" customHeight="true" outlineLevel="0" collapsed="false">
      <c r="A49" s="17"/>
      <c r="B49" s="11"/>
      <c r="C49" s="12"/>
      <c r="D49" s="18"/>
      <c r="E49" s="18"/>
      <c r="F49" s="18"/>
      <c r="G49" s="19" t="str">
        <f aca="false">IFERROR(F49/D49,"")</f>
        <v/>
      </c>
      <c r="H49" s="20" t="str">
        <f aca="false">IFERROR(C49/F49,"")</f>
        <v/>
      </c>
      <c r="I49" s="20" t="str">
        <f aca="false">IFERROR(C49/D49*1000,"")</f>
        <v/>
      </c>
      <c r="J49" s="11"/>
      <c r="K49" s="20" t="str">
        <f aca="false">IFERROR(C49/J49,"")</f>
        <v/>
      </c>
      <c r="L49" s="19" t="str">
        <f aca="false">IFERROR(J49/F49,"")</f>
        <v/>
      </c>
      <c r="M49" s="11"/>
      <c r="N49" s="11"/>
      <c r="O49" s="21"/>
    </row>
    <row r="50" customFormat="false" ht="21.75" hidden="false" customHeight="true" outlineLevel="0" collapsed="false">
      <c r="A50" s="22"/>
      <c r="B50" s="5"/>
      <c r="C50" s="7"/>
      <c r="D50" s="23"/>
      <c r="E50" s="23"/>
      <c r="F50" s="23"/>
      <c r="G50" s="19" t="str">
        <f aca="false">IFERROR(F50/D50,"")</f>
        <v/>
      </c>
      <c r="H50" s="20" t="str">
        <f aca="false">IFERROR(C50/F50,"")</f>
        <v/>
      </c>
      <c r="I50" s="20" t="str">
        <f aca="false">IFERROR(C50/D50*1000,"")</f>
        <v/>
      </c>
      <c r="J50" s="5"/>
      <c r="K50" s="20" t="str">
        <f aca="false">IFERROR(C50/J50,"")</f>
        <v/>
      </c>
      <c r="L50" s="19" t="str">
        <f aca="false">IFERROR(J50/F50,"")</f>
        <v/>
      </c>
      <c r="M50" s="5"/>
      <c r="N50" s="5"/>
      <c r="O50" s="24"/>
    </row>
    <row r="51" customFormat="false" ht="21.75" hidden="false" customHeight="true" outlineLevel="0" collapsed="false">
      <c r="A51" s="17"/>
      <c r="B51" s="11"/>
      <c r="C51" s="12"/>
      <c r="D51" s="18"/>
      <c r="E51" s="18"/>
      <c r="F51" s="18"/>
      <c r="G51" s="19" t="str">
        <f aca="false">IFERROR(F51/D51,"")</f>
        <v/>
      </c>
      <c r="H51" s="20" t="str">
        <f aca="false">IFERROR(C51/F51,"")</f>
        <v/>
      </c>
      <c r="I51" s="20" t="str">
        <f aca="false">IFERROR(C51/D51*1000,"")</f>
        <v/>
      </c>
      <c r="J51" s="11"/>
      <c r="K51" s="20" t="str">
        <f aca="false">IFERROR(C51/J51,"")</f>
        <v/>
      </c>
      <c r="L51" s="19" t="str">
        <f aca="false">IFERROR(J51/F51,"")</f>
        <v/>
      </c>
      <c r="M51" s="11"/>
      <c r="N51" s="11"/>
      <c r="O51" s="21"/>
    </row>
    <row r="52" customFormat="false" ht="21.75" hidden="false" customHeight="true" outlineLevel="0" collapsed="false">
      <c r="A52" s="22"/>
      <c r="B52" s="5"/>
      <c r="C52" s="7"/>
      <c r="D52" s="23"/>
      <c r="E52" s="23"/>
      <c r="F52" s="23"/>
      <c r="G52" s="19" t="str">
        <f aca="false">IFERROR(F52/D52,"")</f>
        <v/>
      </c>
      <c r="H52" s="20" t="str">
        <f aca="false">IFERROR(C52/F52,"")</f>
        <v/>
      </c>
      <c r="I52" s="20" t="str">
        <f aca="false">IFERROR(C52/D52*1000,"")</f>
        <v/>
      </c>
      <c r="J52" s="5"/>
      <c r="K52" s="20" t="str">
        <f aca="false">IFERROR(C52/J52,"")</f>
        <v/>
      </c>
      <c r="L52" s="19" t="str">
        <f aca="false">IFERROR(J52/F52,"")</f>
        <v/>
      </c>
      <c r="M52" s="5"/>
      <c r="N52" s="5"/>
      <c r="O52" s="24"/>
    </row>
    <row r="53" customFormat="false" ht="21.75" hidden="false" customHeight="true" outlineLevel="0" collapsed="false">
      <c r="A53" s="17"/>
      <c r="B53" s="11"/>
      <c r="C53" s="12"/>
      <c r="D53" s="18"/>
      <c r="E53" s="18"/>
      <c r="F53" s="18"/>
      <c r="G53" s="19" t="str">
        <f aca="false">IFERROR(F53/D53,"")</f>
        <v/>
      </c>
      <c r="H53" s="20" t="str">
        <f aca="false">IFERROR(C53/F53,"")</f>
        <v/>
      </c>
      <c r="I53" s="20" t="str">
        <f aca="false">IFERROR(C53/D53*1000,"")</f>
        <v/>
      </c>
      <c r="J53" s="11"/>
      <c r="K53" s="20" t="str">
        <f aca="false">IFERROR(C53/J53,"")</f>
        <v/>
      </c>
      <c r="L53" s="19" t="str">
        <f aca="false">IFERROR(J53/F53,"")</f>
        <v/>
      </c>
      <c r="M53" s="11"/>
      <c r="N53" s="11"/>
      <c r="O53" s="21"/>
    </row>
    <row r="54" customFormat="false" ht="21.75" hidden="false" customHeight="true" outlineLevel="0" collapsed="false">
      <c r="A54" s="22"/>
      <c r="B54" s="5"/>
      <c r="C54" s="7"/>
      <c r="D54" s="23"/>
      <c r="E54" s="23"/>
      <c r="F54" s="23"/>
      <c r="G54" s="19" t="str">
        <f aca="false">IFERROR(F54/D54,"")</f>
        <v/>
      </c>
      <c r="H54" s="20" t="str">
        <f aca="false">IFERROR(C54/F54,"")</f>
        <v/>
      </c>
      <c r="I54" s="20" t="str">
        <f aca="false">IFERROR(C54/D54*1000,"")</f>
        <v/>
      </c>
      <c r="J54" s="5"/>
      <c r="K54" s="20" t="str">
        <f aca="false">IFERROR(C54/J54,"")</f>
        <v/>
      </c>
      <c r="L54" s="19" t="str">
        <f aca="false">IFERROR(J54/F54,"")</f>
        <v/>
      </c>
      <c r="M54" s="5"/>
      <c r="N54" s="5"/>
      <c r="O54" s="24"/>
    </row>
    <row r="55" customFormat="false" ht="21.75" hidden="false" customHeight="true" outlineLevel="0" collapsed="false">
      <c r="A55" s="17"/>
      <c r="B55" s="11"/>
      <c r="C55" s="12"/>
      <c r="D55" s="18"/>
      <c r="E55" s="18"/>
      <c r="F55" s="18"/>
      <c r="G55" s="19" t="str">
        <f aca="false">IFERROR(F55/D55,"")</f>
        <v/>
      </c>
      <c r="H55" s="20" t="str">
        <f aca="false">IFERROR(C55/F55,"")</f>
        <v/>
      </c>
      <c r="I55" s="20" t="str">
        <f aca="false">IFERROR(C55/D55*1000,"")</f>
        <v/>
      </c>
      <c r="J55" s="11"/>
      <c r="K55" s="20" t="str">
        <f aca="false">IFERROR(C55/J55,"")</f>
        <v/>
      </c>
      <c r="L55" s="19" t="str">
        <f aca="false">IFERROR(J55/F55,"")</f>
        <v/>
      </c>
      <c r="M55" s="11"/>
      <c r="N55" s="11"/>
      <c r="O55" s="21"/>
    </row>
    <row r="56" customFormat="false" ht="21.75" hidden="false" customHeight="true" outlineLevel="0" collapsed="false">
      <c r="A56" s="22"/>
      <c r="B56" s="5"/>
      <c r="C56" s="7"/>
      <c r="D56" s="23"/>
      <c r="E56" s="23"/>
      <c r="F56" s="23"/>
      <c r="G56" s="19" t="str">
        <f aca="false">IFERROR(F56/D56,"")</f>
        <v/>
      </c>
      <c r="H56" s="20" t="str">
        <f aca="false">IFERROR(C56/F56,"")</f>
        <v/>
      </c>
      <c r="I56" s="20" t="str">
        <f aca="false">IFERROR(C56/D56*1000,"")</f>
        <v/>
      </c>
      <c r="J56" s="5"/>
      <c r="K56" s="20" t="str">
        <f aca="false">IFERROR(C56/J56,"")</f>
        <v/>
      </c>
      <c r="L56" s="19" t="str">
        <f aca="false">IFERROR(J56/F56,"")</f>
        <v/>
      </c>
      <c r="M56" s="5"/>
      <c r="N56" s="5"/>
      <c r="O56" s="24"/>
    </row>
    <row r="57" customFormat="false" ht="21.75" hidden="false" customHeight="true" outlineLevel="0" collapsed="false">
      <c r="A57" s="17"/>
      <c r="B57" s="11"/>
      <c r="C57" s="12"/>
      <c r="D57" s="18"/>
      <c r="E57" s="18"/>
      <c r="F57" s="18"/>
      <c r="G57" s="19" t="str">
        <f aca="false">IFERROR(F57/D57,"")</f>
        <v/>
      </c>
      <c r="H57" s="20" t="str">
        <f aca="false">IFERROR(C57/F57,"")</f>
        <v/>
      </c>
      <c r="I57" s="20" t="str">
        <f aca="false">IFERROR(C57/D57*1000,"")</f>
        <v/>
      </c>
      <c r="J57" s="11"/>
      <c r="K57" s="20" t="str">
        <f aca="false">IFERROR(C57/J57,"")</f>
        <v/>
      </c>
      <c r="L57" s="19" t="str">
        <f aca="false">IFERROR(J57/F57,"")</f>
        <v/>
      </c>
      <c r="M57" s="11"/>
      <c r="N57" s="11"/>
      <c r="O57" s="21"/>
    </row>
    <row r="58" customFormat="false" ht="21.75" hidden="false" customHeight="true" outlineLevel="0" collapsed="false">
      <c r="A58" s="22"/>
      <c r="B58" s="5"/>
      <c r="C58" s="7"/>
      <c r="D58" s="23"/>
      <c r="E58" s="23"/>
      <c r="F58" s="23"/>
      <c r="G58" s="19" t="str">
        <f aca="false">IFERROR(F58/D58,"")</f>
        <v/>
      </c>
      <c r="H58" s="20" t="str">
        <f aca="false">IFERROR(C58/F58,"")</f>
        <v/>
      </c>
      <c r="I58" s="20" t="str">
        <f aca="false">IFERROR(C58/D58*1000,"")</f>
        <v/>
      </c>
      <c r="J58" s="5"/>
      <c r="K58" s="20" t="str">
        <f aca="false">IFERROR(C58/J58,"")</f>
        <v/>
      </c>
      <c r="L58" s="19" t="str">
        <f aca="false">IFERROR(J58/F58,"")</f>
        <v/>
      </c>
      <c r="M58" s="5"/>
      <c r="N58" s="5"/>
      <c r="O58" s="24"/>
    </row>
    <row r="59" customFormat="false" ht="21.75" hidden="false" customHeight="true" outlineLevel="0" collapsed="false">
      <c r="A59" s="17"/>
      <c r="B59" s="11"/>
      <c r="C59" s="12"/>
      <c r="D59" s="18"/>
      <c r="E59" s="18"/>
      <c r="F59" s="18"/>
      <c r="G59" s="19" t="str">
        <f aca="false">IFERROR(F59/D59,"")</f>
        <v/>
      </c>
      <c r="H59" s="20" t="str">
        <f aca="false">IFERROR(C59/F59,"")</f>
        <v/>
      </c>
      <c r="I59" s="20" t="str">
        <f aca="false">IFERROR(C59/D59*1000,"")</f>
        <v/>
      </c>
      <c r="J59" s="11"/>
      <c r="K59" s="20" t="str">
        <f aca="false">IFERROR(C59/J59,"")</f>
        <v/>
      </c>
      <c r="L59" s="19" t="str">
        <f aca="false">IFERROR(J59/F59,"")</f>
        <v/>
      </c>
      <c r="M59" s="11"/>
      <c r="N59" s="11"/>
      <c r="O59" s="21"/>
    </row>
    <row r="60" customFormat="false" ht="21.75" hidden="false" customHeight="true" outlineLevel="0" collapsed="false">
      <c r="A60" s="22"/>
      <c r="B60" s="5"/>
      <c r="C60" s="7"/>
      <c r="D60" s="23"/>
      <c r="E60" s="23"/>
      <c r="F60" s="23"/>
      <c r="G60" s="19" t="str">
        <f aca="false">IFERROR(F60/D60,"")</f>
        <v/>
      </c>
      <c r="H60" s="20" t="str">
        <f aca="false">IFERROR(C60/F60,"")</f>
        <v/>
      </c>
      <c r="I60" s="20" t="str">
        <f aca="false">IFERROR(C60/D60*1000,"")</f>
        <v/>
      </c>
      <c r="J60" s="5"/>
      <c r="K60" s="20" t="str">
        <f aca="false">IFERROR(C60/J60,"")</f>
        <v/>
      </c>
      <c r="L60" s="19" t="str">
        <f aca="false">IFERROR(J60/F60,"")</f>
        <v/>
      </c>
      <c r="M60" s="5"/>
      <c r="N60" s="5"/>
      <c r="O60" s="24"/>
    </row>
    <row r="61" customFormat="false" ht="21.75" hidden="false" customHeight="true" outlineLevel="0" collapsed="false">
      <c r="A61" s="17"/>
      <c r="B61" s="11"/>
      <c r="C61" s="12"/>
      <c r="D61" s="18"/>
      <c r="E61" s="18"/>
      <c r="F61" s="18"/>
      <c r="G61" s="19" t="str">
        <f aca="false">IFERROR(F61/D61,"")</f>
        <v/>
      </c>
      <c r="H61" s="20" t="str">
        <f aca="false">IFERROR(C61/F61,"")</f>
        <v/>
      </c>
      <c r="I61" s="20" t="str">
        <f aca="false">IFERROR(C61/D61*1000,"")</f>
        <v/>
      </c>
      <c r="J61" s="11"/>
      <c r="K61" s="20" t="str">
        <f aca="false">IFERROR(C61/J61,"")</f>
        <v/>
      </c>
      <c r="L61" s="19" t="str">
        <f aca="false">IFERROR(J61/F61,"")</f>
        <v/>
      </c>
      <c r="M61" s="11"/>
      <c r="N61" s="11"/>
      <c r="O61" s="21"/>
    </row>
    <row r="62" customFormat="false" ht="21.75" hidden="false" customHeight="true" outlineLevel="0" collapsed="false">
      <c r="A62" s="22"/>
      <c r="B62" s="5"/>
      <c r="C62" s="7"/>
      <c r="D62" s="23"/>
      <c r="E62" s="23"/>
      <c r="F62" s="23"/>
      <c r="G62" s="19" t="str">
        <f aca="false">IFERROR(F62/D62,"")</f>
        <v/>
      </c>
      <c r="H62" s="20" t="str">
        <f aca="false">IFERROR(C62/F62,"")</f>
        <v/>
      </c>
      <c r="I62" s="20" t="str">
        <f aca="false">IFERROR(C62/D62*1000,"")</f>
        <v/>
      </c>
      <c r="J62" s="5"/>
      <c r="K62" s="20" t="str">
        <f aca="false">IFERROR(C62/J62,"")</f>
        <v/>
      </c>
      <c r="L62" s="19" t="str">
        <f aca="false">IFERROR(J62/F62,"")</f>
        <v/>
      </c>
      <c r="M62" s="5"/>
      <c r="N62" s="5"/>
      <c r="O62" s="24"/>
    </row>
    <row r="63" customFormat="false" ht="21.75" hidden="false" customHeight="true" outlineLevel="0" collapsed="false">
      <c r="A63" s="17"/>
      <c r="B63" s="11"/>
      <c r="C63" s="12"/>
      <c r="D63" s="18"/>
      <c r="E63" s="18"/>
      <c r="F63" s="18"/>
      <c r="G63" s="19" t="str">
        <f aca="false">IFERROR(F63/D63,"")</f>
        <v/>
      </c>
      <c r="H63" s="20" t="str">
        <f aca="false">IFERROR(C63/F63,"")</f>
        <v/>
      </c>
      <c r="I63" s="20" t="str">
        <f aca="false">IFERROR(C63/D63*1000,"")</f>
        <v/>
      </c>
      <c r="J63" s="11"/>
      <c r="K63" s="20" t="str">
        <f aca="false">IFERROR(C63/J63,"")</f>
        <v/>
      </c>
      <c r="L63" s="19" t="str">
        <f aca="false">IFERROR(J63/F63,"")</f>
        <v/>
      </c>
      <c r="M63" s="11"/>
      <c r="N63" s="11"/>
      <c r="O63" s="21"/>
    </row>
    <row r="64" customFormat="false" ht="21.75" hidden="false" customHeight="true" outlineLevel="0" collapsed="false">
      <c r="A64" s="22"/>
      <c r="B64" s="5"/>
      <c r="C64" s="7"/>
      <c r="D64" s="23"/>
      <c r="E64" s="23"/>
      <c r="F64" s="23"/>
      <c r="G64" s="19" t="str">
        <f aca="false">IFERROR(F64/D64,"")</f>
        <v/>
      </c>
      <c r="H64" s="20" t="str">
        <f aca="false">IFERROR(C64/F64,"")</f>
        <v/>
      </c>
      <c r="I64" s="20" t="str">
        <f aca="false">IFERROR(C64/D64*1000,"")</f>
        <v/>
      </c>
      <c r="J64" s="5"/>
      <c r="K64" s="20" t="str">
        <f aca="false">IFERROR(C64/J64,"")</f>
        <v/>
      </c>
      <c r="L64" s="19" t="str">
        <f aca="false">IFERROR(J64/F64,"")</f>
        <v/>
      </c>
      <c r="M64" s="5"/>
      <c r="N64" s="5"/>
      <c r="O64" s="24"/>
    </row>
    <row r="65" customFormat="false" ht="21.75" hidden="false" customHeight="true" outlineLevel="0" collapsed="false">
      <c r="A65" s="17"/>
      <c r="B65" s="11"/>
      <c r="C65" s="12"/>
      <c r="D65" s="18"/>
      <c r="E65" s="18"/>
      <c r="F65" s="18"/>
      <c r="G65" s="19" t="str">
        <f aca="false">IFERROR(F65/D65,"")</f>
        <v/>
      </c>
      <c r="H65" s="20" t="str">
        <f aca="false">IFERROR(C65/F65,"")</f>
        <v/>
      </c>
      <c r="I65" s="20" t="str">
        <f aca="false">IFERROR(C65/D65*1000,"")</f>
        <v/>
      </c>
      <c r="J65" s="11"/>
      <c r="K65" s="20" t="str">
        <f aca="false">IFERROR(C65/J65,"")</f>
        <v/>
      </c>
      <c r="L65" s="19" t="str">
        <f aca="false">IFERROR(J65/F65,"")</f>
        <v/>
      </c>
      <c r="M65" s="11"/>
      <c r="N65" s="11"/>
      <c r="O65" s="21"/>
    </row>
    <row r="66" customFormat="false" ht="21.75" hidden="false" customHeight="true" outlineLevel="0" collapsed="false">
      <c r="A66" s="22"/>
      <c r="B66" s="5"/>
      <c r="C66" s="7"/>
      <c r="D66" s="23"/>
      <c r="E66" s="23"/>
      <c r="F66" s="23"/>
      <c r="G66" s="19" t="str">
        <f aca="false">IFERROR(F66/D66,"")</f>
        <v/>
      </c>
      <c r="H66" s="20" t="str">
        <f aca="false">IFERROR(C66/F66,"")</f>
        <v/>
      </c>
      <c r="I66" s="20" t="str">
        <f aca="false">IFERROR(C66/D66*1000,"")</f>
        <v/>
      </c>
      <c r="J66" s="5"/>
      <c r="K66" s="20" t="str">
        <f aca="false">IFERROR(C66/J66,"")</f>
        <v/>
      </c>
      <c r="L66" s="19" t="str">
        <f aca="false">IFERROR(J66/F66,"")</f>
        <v/>
      </c>
      <c r="M66" s="5"/>
      <c r="N66" s="5"/>
      <c r="O66" s="24"/>
    </row>
    <row r="67" customFormat="false" ht="21.75" hidden="false" customHeight="true" outlineLevel="0" collapsed="false">
      <c r="A67" s="17"/>
      <c r="B67" s="11"/>
      <c r="C67" s="12"/>
      <c r="D67" s="18"/>
      <c r="E67" s="18"/>
      <c r="F67" s="18"/>
      <c r="G67" s="19" t="str">
        <f aca="false">IFERROR(F67/D67,"")</f>
        <v/>
      </c>
      <c r="H67" s="20" t="str">
        <f aca="false">IFERROR(C67/F67,"")</f>
        <v/>
      </c>
      <c r="I67" s="20" t="str">
        <f aca="false">IFERROR(C67/D67*1000,"")</f>
        <v/>
      </c>
      <c r="J67" s="11"/>
      <c r="K67" s="20" t="str">
        <f aca="false">IFERROR(C67/J67,"")</f>
        <v/>
      </c>
      <c r="L67" s="19" t="str">
        <f aca="false">IFERROR(J67/F67,"")</f>
        <v/>
      </c>
      <c r="M67" s="11"/>
      <c r="N67" s="11"/>
      <c r="O67" s="21"/>
    </row>
    <row r="68" customFormat="false" ht="21.75" hidden="false" customHeight="true" outlineLevel="0" collapsed="false">
      <c r="A68" s="22"/>
      <c r="B68" s="5"/>
      <c r="C68" s="7"/>
      <c r="D68" s="23"/>
      <c r="E68" s="23"/>
      <c r="F68" s="23"/>
      <c r="G68" s="19" t="str">
        <f aca="false">IFERROR(F68/D68,"")</f>
        <v/>
      </c>
      <c r="H68" s="20" t="str">
        <f aca="false">IFERROR(C68/F68,"")</f>
        <v/>
      </c>
      <c r="I68" s="20" t="str">
        <f aca="false">IFERROR(C68/D68*1000,"")</f>
        <v/>
      </c>
      <c r="J68" s="5"/>
      <c r="K68" s="20" t="str">
        <f aca="false">IFERROR(C68/J68,"")</f>
        <v/>
      </c>
      <c r="L68" s="19" t="str">
        <f aca="false">IFERROR(J68/F68,"")</f>
        <v/>
      </c>
      <c r="M68" s="5"/>
      <c r="N68" s="5"/>
      <c r="O68" s="24"/>
    </row>
    <row r="69" customFormat="false" ht="21.75" hidden="false" customHeight="true" outlineLevel="0" collapsed="false">
      <c r="A69" s="17"/>
      <c r="B69" s="11"/>
      <c r="C69" s="12"/>
      <c r="D69" s="18"/>
      <c r="E69" s="18"/>
      <c r="F69" s="18"/>
      <c r="G69" s="19" t="str">
        <f aca="false">IFERROR(F69/D69,"")</f>
        <v/>
      </c>
      <c r="H69" s="20" t="str">
        <f aca="false">IFERROR(C69/F69,"")</f>
        <v/>
      </c>
      <c r="I69" s="20" t="str">
        <f aca="false">IFERROR(C69/D69*1000,"")</f>
        <v/>
      </c>
      <c r="J69" s="11"/>
      <c r="K69" s="20" t="str">
        <f aca="false">IFERROR(C69/J69,"")</f>
        <v/>
      </c>
      <c r="L69" s="19" t="str">
        <f aca="false">IFERROR(J69/F69,"")</f>
        <v/>
      </c>
      <c r="M69" s="11"/>
      <c r="N69" s="11"/>
      <c r="O69" s="21"/>
    </row>
    <row r="70" customFormat="false" ht="21.75" hidden="false" customHeight="true" outlineLevel="0" collapsed="false">
      <c r="A70" s="22"/>
      <c r="B70" s="5"/>
      <c r="C70" s="7"/>
      <c r="D70" s="23"/>
      <c r="E70" s="23"/>
      <c r="F70" s="23"/>
      <c r="G70" s="19" t="str">
        <f aca="false">IFERROR(F70/D70,"")</f>
        <v/>
      </c>
      <c r="H70" s="20" t="str">
        <f aca="false">IFERROR(C70/F70,"")</f>
        <v/>
      </c>
      <c r="I70" s="20" t="str">
        <f aca="false">IFERROR(C70/D70*1000,"")</f>
        <v/>
      </c>
      <c r="J70" s="5"/>
      <c r="K70" s="20" t="str">
        <f aca="false">IFERROR(C70/J70,"")</f>
        <v/>
      </c>
      <c r="L70" s="19" t="str">
        <f aca="false">IFERROR(J70/F70,"")</f>
        <v/>
      </c>
      <c r="M70" s="5"/>
      <c r="N70" s="5"/>
      <c r="O70" s="24"/>
    </row>
    <row r="71" customFormat="false" ht="21.75" hidden="false" customHeight="true" outlineLevel="0" collapsed="false">
      <c r="A71" s="17"/>
      <c r="B71" s="11"/>
      <c r="C71" s="12"/>
      <c r="D71" s="18"/>
      <c r="E71" s="18"/>
      <c r="F71" s="18"/>
      <c r="G71" s="19" t="str">
        <f aca="false">IFERROR(F71/D71,"")</f>
        <v/>
      </c>
      <c r="H71" s="20" t="str">
        <f aca="false">IFERROR(C71/F71,"")</f>
        <v/>
      </c>
      <c r="I71" s="20" t="str">
        <f aca="false">IFERROR(C71/D71*1000,"")</f>
        <v/>
      </c>
      <c r="J71" s="11"/>
      <c r="K71" s="20" t="str">
        <f aca="false">IFERROR(C71/J71,"")</f>
        <v/>
      </c>
      <c r="L71" s="19" t="str">
        <f aca="false">IFERROR(J71/F71,"")</f>
        <v/>
      </c>
      <c r="M71" s="11"/>
      <c r="N71" s="11"/>
      <c r="O71" s="21"/>
    </row>
    <row r="72" customFormat="false" ht="21.75" hidden="false" customHeight="true" outlineLevel="0" collapsed="false">
      <c r="A72" s="22"/>
      <c r="B72" s="5"/>
      <c r="C72" s="7"/>
      <c r="D72" s="23"/>
      <c r="E72" s="23"/>
      <c r="F72" s="23"/>
      <c r="G72" s="19" t="str">
        <f aca="false">IFERROR(F72/D72,"")</f>
        <v/>
      </c>
      <c r="H72" s="20" t="str">
        <f aca="false">IFERROR(C72/F72,"")</f>
        <v/>
      </c>
      <c r="I72" s="20" t="str">
        <f aca="false">IFERROR(C72/D72*1000,"")</f>
        <v/>
      </c>
      <c r="J72" s="5"/>
      <c r="K72" s="20" t="str">
        <f aca="false">IFERROR(C72/J72,"")</f>
        <v/>
      </c>
      <c r="L72" s="19" t="str">
        <f aca="false">IFERROR(J72/F72,"")</f>
        <v/>
      </c>
      <c r="M72" s="5"/>
      <c r="N72" s="5"/>
      <c r="O72" s="24"/>
    </row>
    <row r="73" customFormat="false" ht="21.75" hidden="false" customHeight="true" outlineLevel="0" collapsed="false">
      <c r="A73" s="17"/>
      <c r="B73" s="11"/>
      <c r="C73" s="12"/>
      <c r="D73" s="18"/>
      <c r="E73" s="18"/>
      <c r="F73" s="18"/>
      <c r="G73" s="19" t="str">
        <f aca="false">IFERROR(F73/D73,"")</f>
        <v/>
      </c>
      <c r="H73" s="20" t="str">
        <f aca="false">IFERROR(C73/F73,"")</f>
        <v/>
      </c>
      <c r="I73" s="20" t="str">
        <f aca="false">IFERROR(C73/D73*1000,"")</f>
        <v/>
      </c>
      <c r="J73" s="11"/>
      <c r="K73" s="20" t="str">
        <f aca="false">IFERROR(C73/J73,"")</f>
        <v/>
      </c>
      <c r="L73" s="19" t="str">
        <f aca="false">IFERROR(J73/F73,"")</f>
        <v/>
      </c>
      <c r="M73" s="11"/>
      <c r="N73" s="11"/>
      <c r="O73" s="21"/>
    </row>
    <row r="74" customFormat="false" ht="21.75" hidden="false" customHeight="true" outlineLevel="0" collapsed="false">
      <c r="A74" s="22"/>
      <c r="B74" s="5"/>
      <c r="C74" s="7"/>
      <c r="D74" s="23"/>
      <c r="E74" s="23"/>
      <c r="F74" s="23"/>
      <c r="G74" s="19" t="str">
        <f aca="false">IFERROR(F74/D74,"")</f>
        <v/>
      </c>
      <c r="H74" s="20" t="str">
        <f aca="false">IFERROR(C74/F74,"")</f>
        <v/>
      </c>
      <c r="I74" s="20" t="str">
        <f aca="false">IFERROR(C74/D74*1000,"")</f>
        <v/>
      </c>
      <c r="J74" s="5"/>
      <c r="K74" s="20" t="str">
        <f aca="false">IFERROR(C74/J74,"")</f>
        <v/>
      </c>
      <c r="L74" s="19" t="str">
        <f aca="false">IFERROR(J74/F74,"")</f>
        <v/>
      </c>
      <c r="M74" s="5"/>
      <c r="N74" s="5"/>
      <c r="O74" s="24"/>
    </row>
    <row r="75" customFormat="false" ht="21.75" hidden="false" customHeight="true" outlineLevel="0" collapsed="false">
      <c r="A75" s="17"/>
      <c r="B75" s="11"/>
      <c r="C75" s="12"/>
      <c r="D75" s="18"/>
      <c r="E75" s="18"/>
      <c r="F75" s="18"/>
      <c r="G75" s="19" t="str">
        <f aca="false">IFERROR(F75/D75,"")</f>
        <v/>
      </c>
      <c r="H75" s="20" t="str">
        <f aca="false">IFERROR(C75/F75,"")</f>
        <v/>
      </c>
      <c r="I75" s="20" t="str">
        <f aca="false">IFERROR(C75/D75*1000,"")</f>
        <v/>
      </c>
      <c r="J75" s="11"/>
      <c r="K75" s="20" t="str">
        <f aca="false">IFERROR(C75/J75,"")</f>
        <v/>
      </c>
      <c r="L75" s="19" t="str">
        <f aca="false">IFERROR(J75/F75,"")</f>
        <v/>
      </c>
      <c r="M75" s="11"/>
      <c r="N75" s="11"/>
      <c r="O75" s="21"/>
    </row>
    <row r="76" customFormat="false" ht="21.75" hidden="false" customHeight="true" outlineLevel="0" collapsed="false">
      <c r="A76" s="22"/>
      <c r="B76" s="5"/>
      <c r="C76" s="7"/>
      <c r="D76" s="23"/>
      <c r="E76" s="23"/>
      <c r="F76" s="23"/>
      <c r="G76" s="19" t="str">
        <f aca="false">IFERROR(F76/D76,"")</f>
        <v/>
      </c>
      <c r="H76" s="20" t="str">
        <f aca="false">IFERROR(C76/F76,"")</f>
        <v/>
      </c>
      <c r="I76" s="20" t="str">
        <f aca="false">IFERROR(C76/D76*1000,"")</f>
        <v/>
      </c>
      <c r="J76" s="5"/>
      <c r="K76" s="20" t="str">
        <f aca="false">IFERROR(C76/J76,"")</f>
        <v/>
      </c>
      <c r="L76" s="19" t="str">
        <f aca="false">IFERROR(J76/F76,"")</f>
        <v/>
      </c>
      <c r="M76" s="5"/>
      <c r="N76" s="5"/>
      <c r="O76" s="24"/>
    </row>
    <row r="77" customFormat="false" ht="21.75" hidden="false" customHeight="true" outlineLevel="0" collapsed="false">
      <c r="A77" s="17"/>
      <c r="B77" s="11"/>
      <c r="C77" s="12"/>
      <c r="D77" s="18"/>
      <c r="E77" s="18"/>
      <c r="F77" s="18"/>
      <c r="G77" s="19" t="str">
        <f aca="false">IFERROR(F77/D77,"")</f>
        <v/>
      </c>
      <c r="H77" s="20" t="str">
        <f aca="false">IFERROR(C77/F77,"")</f>
        <v/>
      </c>
      <c r="I77" s="20" t="str">
        <f aca="false">IFERROR(C77/D77*1000,"")</f>
        <v/>
      </c>
      <c r="J77" s="11"/>
      <c r="K77" s="20" t="str">
        <f aca="false">IFERROR(C77/J77,"")</f>
        <v/>
      </c>
      <c r="L77" s="19" t="str">
        <f aca="false">IFERROR(J77/F77,"")</f>
        <v/>
      </c>
      <c r="M77" s="11"/>
      <c r="N77" s="11"/>
      <c r="O77" s="21"/>
    </row>
    <row r="78" customFormat="false" ht="21.75" hidden="false" customHeight="true" outlineLevel="0" collapsed="false">
      <c r="A78" s="22"/>
      <c r="B78" s="5"/>
      <c r="C78" s="7"/>
      <c r="D78" s="23"/>
      <c r="E78" s="23"/>
      <c r="F78" s="23"/>
      <c r="G78" s="19" t="str">
        <f aca="false">IFERROR(F78/D78,"")</f>
        <v/>
      </c>
      <c r="H78" s="20" t="str">
        <f aca="false">IFERROR(C78/F78,"")</f>
        <v/>
      </c>
      <c r="I78" s="20" t="str">
        <f aca="false">IFERROR(C78/D78*1000,"")</f>
        <v/>
      </c>
      <c r="J78" s="5"/>
      <c r="K78" s="20" t="str">
        <f aca="false">IFERROR(C78/J78,"")</f>
        <v/>
      </c>
      <c r="L78" s="19" t="str">
        <f aca="false">IFERROR(J78/F78,"")</f>
        <v/>
      </c>
      <c r="M78" s="5"/>
      <c r="N78" s="5"/>
      <c r="O78" s="24"/>
    </row>
    <row r="79" customFormat="false" ht="21.75" hidden="false" customHeight="true" outlineLevel="0" collapsed="false">
      <c r="A79" s="17"/>
      <c r="B79" s="11"/>
      <c r="C79" s="12"/>
      <c r="D79" s="18"/>
      <c r="E79" s="18"/>
      <c r="F79" s="18"/>
      <c r="G79" s="19" t="str">
        <f aca="false">IFERROR(F79/D79,"")</f>
        <v/>
      </c>
      <c r="H79" s="20" t="str">
        <f aca="false">IFERROR(C79/F79,"")</f>
        <v/>
      </c>
      <c r="I79" s="20" t="str">
        <f aca="false">IFERROR(C79/D79*1000,"")</f>
        <v/>
      </c>
      <c r="J79" s="11"/>
      <c r="K79" s="20" t="str">
        <f aca="false">IFERROR(C79/J79,"")</f>
        <v/>
      </c>
      <c r="L79" s="19" t="str">
        <f aca="false">IFERROR(J79/F79,"")</f>
        <v/>
      </c>
      <c r="M79" s="11"/>
      <c r="N79" s="11"/>
      <c r="O79" s="21"/>
    </row>
    <row r="80" customFormat="false" ht="21.75" hidden="false" customHeight="true" outlineLevel="0" collapsed="false">
      <c r="A80" s="22"/>
      <c r="B80" s="5"/>
      <c r="C80" s="7"/>
      <c r="D80" s="23"/>
      <c r="E80" s="23"/>
      <c r="F80" s="23"/>
      <c r="G80" s="19" t="str">
        <f aca="false">IFERROR(F80/D80,"")</f>
        <v/>
      </c>
      <c r="H80" s="20" t="str">
        <f aca="false">IFERROR(C80/F80,"")</f>
        <v/>
      </c>
      <c r="I80" s="20" t="str">
        <f aca="false">IFERROR(C80/D80*1000,"")</f>
        <v/>
      </c>
      <c r="J80" s="5"/>
      <c r="K80" s="20" t="str">
        <f aca="false">IFERROR(C80/J80,"")</f>
        <v/>
      </c>
      <c r="L80" s="19" t="str">
        <f aca="false">IFERROR(J80/F80,"")</f>
        <v/>
      </c>
      <c r="M80" s="5"/>
      <c r="N80" s="5"/>
      <c r="O80" s="24"/>
    </row>
    <row r="81" customFormat="false" ht="21.75" hidden="false" customHeight="true" outlineLevel="0" collapsed="false">
      <c r="A81" s="17"/>
      <c r="B81" s="11"/>
      <c r="C81" s="12"/>
      <c r="D81" s="18"/>
      <c r="E81" s="18"/>
      <c r="F81" s="18"/>
      <c r="G81" s="19" t="str">
        <f aca="false">IFERROR(F81/D81,"")</f>
        <v/>
      </c>
      <c r="H81" s="20" t="str">
        <f aca="false">IFERROR(C81/F81,"")</f>
        <v/>
      </c>
      <c r="I81" s="20" t="str">
        <f aca="false">IFERROR(C81/D81*1000,"")</f>
        <v/>
      </c>
      <c r="J81" s="11"/>
      <c r="K81" s="20" t="str">
        <f aca="false">IFERROR(C81/J81,"")</f>
        <v/>
      </c>
      <c r="L81" s="19" t="str">
        <f aca="false">IFERROR(J81/F81,"")</f>
        <v/>
      </c>
      <c r="M81" s="11"/>
      <c r="N81" s="11"/>
      <c r="O81" s="21"/>
    </row>
    <row r="82" customFormat="false" ht="21.75" hidden="false" customHeight="true" outlineLevel="0" collapsed="false">
      <c r="A82" s="22"/>
      <c r="B82" s="5"/>
      <c r="C82" s="7"/>
      <c r="D82" s="23"/>
      <c r="E82" s="23"/>
      <c r="F82" s="23"/>
      <c r="G82" s="19" t="str">
        <f aca="false">IFERROR(F82/D82,"")</f>
        <v/>
      </c>
      <c r="H82" s="20" t="str">
        <f aca="false">IFERROR(C82/F82,"")</f>
        <v/>
      </c>
      <c r="I82" s="20" t="str">
        <f aca="false">IFERROR(C82/D82*1000,"")</f>
        <v/>
      </c>
      <c r="J82" s="5"/>
      <c r="K82" s="20" t="str">
        <f aca="false">IFERROR(C82/J82,"")</f>
        <v/>
      </c>
      <c r="L82" s="19" t="str">
        <f aca="false">IFERROR(J82/F82,"")</f>
        <v/>
      </c>
      <c r="M82" s="5"/>
      <c r="N82" s="5"/>
      <c r="O82" s="24"/>
    </row>
    <row r="83" customFormat="false" ht="21.75" hidden="false" customHeight="true" outlineLevel="0" collapsed="false">
      <c r="A83" s="17"/>
      <c r="B83" s="11"/>
      <c r="C83" s="12"/>
      <c r="D83" s="18"/>
      <c r="E83" s="18"/>
      <c r="F83" s="18"/>
      <c r="G83" s="19" t="str">
        <f aca="false">IFERROR(F83/D83,"")</f>
        <v/>
      </c>
      <c r="H83" s="20" t="str">
        <f aca="false">IFERROR(C83/F83,"")</f>
        <v/>
      </c>
      <c r="I83" s="20" t="str">
        <f aca="false">IFERROR(C83/D83*1000,"")</f>
        <v/>
      </c>
      <c r="J83" s="11"/>
      <c r="K83" s="20" t="str">
        <f aca="false">IFERROR(C83/J83,"")</f>
        <v/>
      </c>
      <c r="L83" s="19" t="str">
        <f aca="false">IFERROR(J83/F83,"")</f>
        <v/>
      </c>
      <c r="M83" s="11"/>
      <c r="N83" s="11"/>
      <c r="O83" s="21"/>
    </row>
    <row r="84" customFormat="false" ht="21.75" hidden="false" customHeight="true" outlineLevel="0" collapsed="false">
      <c r="A84" s="22"/>
      <c r="B84" s="5"/>
      <c r="C84" s="7"/>
      <c r="D84" s="23"/>
      <c r="E84" s="23"/>
      <c r="F84" s="23"/>
      <c r="G84" s="19" t="str">
        <f aca="false">IFERROR(F84/D84,"")</f>
        <v/>
      </c>
      <c r="H84" s="20" t="str">
        <f aca="false">IFERROR(C84/F84,"")</f>
        <v/>
      </c>
      <c r="I84" s="20" t="str">
        <f aca="false">IFERROR(C84/D84*1000,"")</f>
        <v/>
      </c>
      <c r="J84" s="5"/>
      <c r="K84" s="20" t="str">
        <f aca="false">IFERROR(C84/J84,"")</f>
        <v/>
      </c>
      <c r="L84" s="19" t="str">
        <f aca="false">IFERROR(J84/F84,"")</f>
        <v/>
      </c>
      <c r="M84" s="5"/>
      <c r="N84" s="5"/>
      <c r="O84" s="24"/>
    </row>
    <row r="85" customFormat="false" ht="21.75" hidden="false" customHeight="true" outlineLevel="0" collapsed="false">
      <c r="A85" s="17"/>
      <c r="B85" s="11"/>
      <c r="C85" s="12"/>
      <c r="D85" s="18"/>
      <c r="E85" s="18"/>
      <c r="F85" s="18"/>
      <c r="G85" s="19" t="str">
        <f aca="false">IFERROR(F85/D85,"")</f>
        <v/>
      </c>
      <c r="H85" s="20" t="str">
        <f aca="false">IFERROR(C85/F85,"")</f>
        <v/>
      </c>
      <c r="I85" s="20" t="str">
        <f aca="false">IFERROR(C85/D85*1000,"")</f>
        <v/>
      </c>
      <c r="J85" s="11"/>
      <c r="K85" s="20" t="str">
        <f aca="false">IFERROR(C85/J85,"")</f>
        <v/>
      </c>
      <c r="L85" s="19" t="str">
        <f aca="false">IFERROR(J85/F85,"")</f>
        <v/>
      </c>
      <c r="M85" s="11"/>
      <c r="N85" s="11"/>
      <c r="O85" s="21"/>
    </row>
    <row r="86" customFormat="false" ht="21.75" hidden="false" customHeight="true" outlineLevel="0" collapsed="false">
      <c r="A86" s="22"/>
      <c r="B86" s="5"/>
      <c r="C86" s="7"/>
      <c r="D86" s="23"/>
      <c r="E86" s="23"/>
      <c r="F86" s="23"/>
      <c r="G86" s="19" t="str">
        <f aca="false">IFERROR(F86/D86,"")</f>
        <v/>
      </c>
      <c r="H86" s="20" t="str">
        <f aca="false">IFERROR(C86/F86,"")</f>
        <v/>
      </c>
      <c r="I86" s="20" t="str">
        <f aca="false">IFERROR(C86/D86*1000,"")</f>
        <v/>
      </c>
      <c r="J86" s="5"/>
      <c r="K86" s="20" t="str">
        <f aca="false">IFERROR(C86/J86,"")</f>
        <v/>
      </c>
      <c r="L86" s="19" t="str">
        <f aca="false">IFERROR(J86/F86,"")</f>
        <v/>
      </c>
      <c r="M86" s="5"/>
      <c r="N86" s="5"/>
      <c r="O86" s="24"/>
    </row>
    <row r="87" customFormat="false" ht="21.75" hidden="false" customHeight="true" outlineLevel="0" collapsed="false">
      <c r="A87" s="17"/>
      <c r="B87" s="11"/>
      <c r="C87" s="12"/>
      <c r="D87" s="18"/>
      <c r="E87" s="18"/>
      <c r="F87" s="18"/>
      <c r="G87" s="19" t="str">
        <f aca="false">IFERROR(F87/D87,"")</f>
        <v/>
      </c>
      <c r="H87" s="20" t="str">
        <f aca="false">IFERROR(C87/F87,"")</f>
        <v/>
      </c>
      <c r="I87" s="20" t="str">
        <f aca="false">IFERROR(C87/D87*1000,"")</f>
        <v/>
      </c>
      <c r="J87" s="11"/>
      <c r="K87" s="20" t="str">
        <f aca="false">IFERROR(C87/J87,"")</f>
        <v/>
      </c>
      <c r="L87" s="19" t="str">
        <f aca="false">IFERROR(J87/F87,"")</f>
        <v/>
      </c>
      <c r="M87" s="11"/>
      <c r="N87" s="11"/>
      <c r="O87" s="21"/>
    </row>
    <row r="88" customFormat="false" ht="21.75" hidden="false" customHeight="true" outlineLevel="0" collapsed="false">
      <c r="A88" s="22"/>
      <c r="B88" s="5"/>
      <c r="C88" s="7"/>
      <c r="D88" s="23"/>
      <c r="E88" s="23"/>
      <c r="F88" s="23"/>
      <c r="G88" s="19" t="str">
        <f aca="false">IFERROR(F88/D88,"")</f>
        <v/>
      </c>
      <c r="H88" s="20" t="str">
        <f aca="false">IFERROR(C88/F88,"")</f>
        <v/>
      </c>
      <c r="I88" s="20" t="str">
        <f aca="false">IFERROR(C88/D88*1000,"")</f>
        <v/>
      </c>
      <c r="J88" s="5"/>
      <c r="K88" s="20" t="str">
        <f aca="false">IFERROR(C88/J88,"")</f>
        <v/>
      </c>
      <c r="L88" s="19" t="str">
        <f aca="false">IFERROR(J88/F88,"")</f>
        <v/>
      </c>
      <c r="M88" s="5"/>
      <c r="N88" s="5"/>
      <c r="O88" s="24"/>
    </row>
    <row r="89" customFormat="false" ht="21.75" hidden="false" customHeight="true" outlineLevel="0" collapsed="false">
      <c r="A89" s="17"/>
      <c r="B89" s="11"/>
      <c r="C89" s="12"/>
      <c r="D89" s="18"/>
      <c r="E89" s="18"/>
      <c r="F89" s="18"/>
      <c r="G89" s="19" t="str">
        <f aca="false">IFERROR(F89/D89,"")</f>
        <v/>
      </c>
      <c r="H89" s="20" t="str">
        <f aca="false">IFERROR(C89/F89,"")</f>
        <v/>
      </c>
      <c r="I89" s="20" t="str">
        <f aca="false">IFERROR(C89/D89*1000,"")</f>
        <v/>
      </c>
      <c r="J89" s="11"/>
      <c r="K89" s="20" t="str">
        <f aca="false">IFERROR(C89/J89,"")</f>
        <v/>
      </c>
      <c r="L89" s="19" t="str">
        <f aca="false">IFERROR(J89/F89,"")</f>
        <v/>
      </c>
      <c r="M89" s="11"/>
      <c r="N89" s="11"/>
      <c r="O89" s="21"/>
    </row>
    <row r="90" customFormat="false" ht="21.75" hidden="false" customHeight="true" outlineLevel="0" collapsed="false">
      <c r="A90" s="22"/>
      <c r="B90" s="5"/>
      <c r="C90" s="7"/>
      <c r="D90" s="23"/>
      <c r="E90" s="23"/>
      <c r="F90" s="23"/>
      <c r="G90" s="19" t="str">
        <f aca="false">IFERROR(F90/D90,"")</f>
        <v/>
      </c>
      <c r="H90" s="20" t="str">
        <f aca="false">IFERROR(C90/F90,"")</f>
        <v/>
      </c>
      <c r="I90" s="20" t="str">
        <f aca="false">IFERROR(C90/D90*1000,"")</f>
        <v/>
      </c>
      <c r="J90" s="5"/>
      <c r="K90" s="20" t="str">
        <f aca="false">IFERROR(C90/J90,"")</f>
        <v/>
      </c>
      <c r="L90" s="19" t="str">
        <f aca="false">IFERROR(J90/F90,"")</f>
        <v/>
      </c>
      <c r="M90" s="5"/>
      <c r="N90" s="5"/>
      <c r="O90" s="24"/>
    </row>
    <row r="91" customFormat="false" ht="21.75" hidden="false" customHeight="true" outlineLevel="0" collapsed="false">
      <c r="A91" s="17"/>
      <c r="B91" s="11"/>
      <c r="C91" s="12"/>
      <c r="D91" s="18"/>
      <c r="E91" s="18"/>
      <c r="F91" s="18"/>
      <c r="G91" s="19" t="str">
        <f aca="false">IFERROR(F91/D91,"")</f>
        <v/>
      </c>
      <c r="H91" s="20" t="str">
        <f aca="false">IFERROR(C91/F91,"")</f>
        <v/>
      </c>
      <c r="I91" s="20" t="str">
        <f aca="false">IFERROR(C91/D91*1000,"")</f>
        <v/>
      </c>
      <c r="J91" s="11"/>
      <c r="K91" s="20" t="str">
        <f aca="false">IFERROR(C91/J91,"")</f>
        <v/>
      </c>
      <c r="L91" s="19" t="str">
        <f aca="false">IFERROR(J91/F91,"")</f>
        <v/>
      </c>
      <c r="M91" s="11"/>
      <c r="N91" s="11"/>
      <c r="O91" s="21"/>
    </row>
    <row r="92" customFormat="false" ht="21.75" hidden="false" customHeight="true" outlineLevel="0" collapsed="false">
      <c r="A92" s="22"/>
      <c r="B92" s="5"/>
      <c r="C92" s="7"/>
      <c r="D92" s="23"/>
      <c r="E92" s="23"/>
      <c r="F92" s="23"/>
      <c r="G92" s="19" t="str">
        <f aca="false">IFERROR(F92/D92,"")</f>
        <v/>
      </c>
      <c r="H92" s="20" t="str">
        <f aca="false">IFERROR(C92/F92,"")</f>
        <v/>
      </c>
      <c r="I92" s="20" t="str">
        <f aca="false">IFERROR(C92/D92*1000,"")</f>
        <v/>
      </c>
      <c r="J92" s="5"/>
      <c r="K92" s="20" t="str">
        <f aca="false">IFERROR(C92/J92,"")</f>
        <v/>
      </c>
      <c r="L92" s="19" t="str">
        <f aca="false">IFERROR(J92/F92,"")</f>
        <v/>
      </c>
      <c r="M92" s="5"/>
      <c r="N92" s="5"/>
      <c r="O92" s="24"/>
    </row>
    <row r="93" customFormat="false" ht="21.75" hidden="false" customHeight="true" outlineLevel="0" collapsed="false">
      <c r="A93" s="17"/>
      <c r="B93" s="11"/>
      <c r="C93" s="12"/>
      <c r="D93" s="18"/>
      <c r="E93" s="18"/>
      <c r="F93" s="18"/>
      <c r="G93" s="19" t="str">
        <f aca="false">IFERROR(F93/D93,"")</f>
        <v/>
      </c>
      <c r="H93" s="20" t="str">
        <f aca="false">IFERROR(C93/F93,"")</f>
        <v/>
      </c>
      <c r="I93" s="20" t="str">
        <f aca="false">IFERROR(C93/D93*1000,"")</f>
        <v/>
      </c>
      <c r="J93" s="11"/>
      <c r="K93" s="20" t="str">
        <f aca="false">IFERROR(C93/J93,"")</f>
        <v/>
      </c>
      <c r="L93" s="19" t="str">
        <f aca="false">IFERROR(J93/F93,"")</f>
        <v/>
      </c>
      <c r="M93" s="11"/>
      <c r="N93" s="11"/>
      <c r="O93" s="21"/>
    </row>
    <row r="94" customFormat="false" ht="21.75" hidden="false" customHeight="true" outlineLevel="0" collapsed="false">
      <c r="A94" s="22"/>
      <c r="B94" s="5"/>
      <c r="C94" s="7"/>
      <c r="D94" s="23"/>
      <c r="E94" s="23"/>
      <c r="F94" s="23"/>
      <c r="G94" s="19" t="str">
        <f aca="false">IFERROR(F94/D94,"")</f>
        <v/>
      </c>
      <c r="H94" s="20" t="str">
        <f aca="false">IFERROR(C94/F94,"")</f>
        <v/>
      </c>
      <c r="I94" s="20" t="str">
        <f aca="false">IFERROR(C94/D94*1000,"")</f>
        <v/>
      </c>
      <c r="J94" s="5"/>
      <c r="K94" s="20" t="str">
        <f aca="false">IFERROR(C94/J94,"")</f>
        <v/>
      </c>
      <c r="L94" s="19" t="str">
        <f aca="false">IFERROR(J94/F94,"")</f>
        <v/>
      </c>
      <c r="M94" s="5"/>
      <c r="N94" s="5"/>
      <c r="O94" s="24"/>
    </row>
    <row r="95" customFormat="false" ht="21.75" hidden="false" customHeight="true" outlineLevel="0" collapsed="false">
      <c r="A95" s="17"/>
      <c r="B95" s="11"/>
      <c r="C95" s="12"/>
      <c r="D95" s="18"/>
      <c r="E95" s="18"/>
      <c r="F95" s="18"/>
      <c r="G95" s="19" t="str">
        <f aca="false">IFERROR(F95/D95,"")</f>
        <v/>
      </c>
      <c r="H95" s="20" t="str">
        <f aca="false">IFERROR(C95/F95,"")</f>
        <v/>
      </c>
      <c r="I95" s="20" t="str">
        <f aca="false">IFERROR(C95/D95*1000,"")</f>
        <v/>
      </c>
      <c r="J95" s="11"/>
      <c r="K95" s="20" t="str">
        <f aca="false">IFERROR(C95/J95,"")</f>
        <v/>
      </c>
      <c r="L95" s="19" t="str">
        <f aca="false">IFERROR(J95/F95,"")</f>
        <v/>
      </c>
      <c r="M95" s="11"/>
      <c r="N95" s="11"/>
      <c r="O95" s="21"/>
    </row>
    <row r="96" customFormat="false" ht="21.75" hidden="false" customHeight="true" outlineLevel="0" collapsed="false">
      <c r="A96" s="22"/>
      <c r="B96" s="5"/>
      <c r="C96" s="7"/>
      <c r="D96" s="23"/>
      <c r="E96" s="23"/>
      <c r="F96" s="23"/>
      <c r="G96" s="19" t="str">
        <f aca="false">IFERROR(F96/D96,"")</f>
        <v/>
      </c>
      <c r="H96" s="20" t="str">
        <f aca="false">IFERROR(C96/F96,"")</f>
        <v/>
      </c>
      <c r="I96" s="20" t="str">
        <f aca="false">IFERROR(C96/D96*1000,"")</f>
        <v/>
      </c>
      <c r="J96" s="5"/>
      <c r="K96" s="20" t="str">
        <f aca="false">IFERROR(C96/J96,"")</f>
        <v/>
      </c>
      <c r="L96" s="19" t="str">
        <f aca="false">IFERROR(J96/F96,"")</f>
        <v/>
      </c>
      <c r="M96" s="5"/>
      <c r="N96" s="5"/>
      <c r="O96" s="24"/>
    </row>
    <row r="97" customFormat="false" ht="21.75" hidden="false" customHeight="true" outlineLevel="0" collapsed="false">
      <c r="A97" s="17"/>
      <c r="B97" s="11"/>
      <c r="C97" s="12"/>
      <c r="D97" s="18"/>
      <c r="E97" s="18"/>
      <c r="F97" s="18"/>
      <c r="G97" s="19" t="str">
        <f aca="false">IFERROR(F97/D97,"")</f>
        <v/>
      </c>
      <c r="H97" s="20" t="str">
        <f aca="false">IFERROR(C97/F97,"")</f>
        <v/>
      </c>
      <c r="I97" s="20" t="str">
        <f aca="false">IFERROR(C97/D97*1000,"")</f>
        <v/>
      </c>
      <c r="J97" s="11"/>
      <c r="K97" s="20" t="str">
        <f aca="false">IFERROR(C97/J97,"")</f>
        <v/>
      </c>
      <c r="L97" s="19" t="str">
        <f aca="false">IFERROR(J97/F97,"")</f>
        <v/>
      </c>
      <c r="M97" s="11"/>
      <c r="N97" s="11"/>
      <c r="O97" s="21"/>
    </row>
    <row r="98" customFormat="false" ht="21.75" hidden="false" customHeight="true" outlineLevel="0" collapsed="false">
      <c r="A98" s="22"/>
      <c r="B98" s="5"/>
      <c r="C98" s="7"/>
      <c r="D98" s="23"/>
      <c r="E98" s="23"/>
      <c r="F98" s="23"/>
      <c r="G98" s="19" t="str">
        <f aca="false">IFERROR(F98/D98,"")</f>
        <v/>
      </c>
      <c r="H98" s="20" t="str">
        <f aca="false">IFERROR(C98/F98,"")</f>
        <v/>
      </c>
      <c r="I98" s="20" t="str">
        <f aca="false">IFERROR(C98/D98*1000,"")</f>
        <v/>
      </c>
      <c r="J98" s="5"/>
      <c r="K98" s="20" t="str">
        <f aca="false">IFERROR(C98/J98,"")</f>
        <v/>
      </c>
      <c r="L98" s="19" t="str">
        <f aca="false">IFERROR(J98/F98,"")</f>
        <v/>
      </c>
      <c r="M98" s="5"/>
      <c r="N98" s="5"/>
      <c r="O98" s="24"/>
    </row>
    <row r="99" customFormat="false" ht="21.75" hidden="false" customHeight="true" outlineLevel="0" collapsed="false">
      <c r="A99" s="17"/>
      <c r="B99" s="11"/>
      <c r="C99" s="12"/>
      <c r="D99" s="18"/>
      <c r="E99" s="18"/>
      <c r="F99" s="18"/>
      <c r="G99" s="19" t="str">
        <f aca="false">IFERROR(F99/D99,"")</f>
        <v/>
      </c>
      <c r="H99" s="20" t="str">
        <f aca="false">IFERROR(C99/F99,"")</f>
        <v/>
      </c>
      <c r="I99" s="20" t="str">
        <f aca="false">IFERROR(C99/D99*1000,"")</f>
        <v/>
      </c>
      <c r="J99" s="11"/>
      <c r="K99" s="20" t="str">
        <f aca="false">IFERROR(C99/J99,"")</f>
        <v/>
      </c>
      <c r="L99" s="19" t="str">
        <f aca="false">IFERROR(J99/F99,"")</f>
        <v/>
      </c>
      <c r="M99" s="11"/>
      <c r="N99" s="11"/>
      <c r="O99" s="21"/>
    </row>
    <row r="100" customFormat="false" ht="21.75" hidden="false" customHeight="true" outlineLevel="0" collapsed="false">
      <c r="A100" s="22"/>
      <c r="B100" s="5"/>
      <c r="C100" s="7"/>
      <c r="D100" s="23"/>
      <c r="E100" s="23"/>
      <c r="F100" s="23"/>
      <c r="G100" s="19" t="str">
        <f aca="false">IFERROR(F100/D100,"")</f>
        <v/>
      </c>
      <c r="H100" s="20" t="str">
        <f aca="false">IFERROR(C100/F100,"")</f>
        <v/>
      </c>
      <c r="I100" s="20" t="str">
        <f aca="false">IFERROR(C100/D100*1000,"")</f>
        <v/>
      </c>
      <c r="J100" s="5"/>
      <c r="K100" s="20" t="str">
        <f aca="false">IFERROR(C100/J100,"")</f>
        <v/>
      </c>
      <c r="L100" s="19" t="str">
        <f aca="false">IFERROR(J100/F100,"")</f>
        <v/>
      </c>
      <c r="M100" s="5"/>
      <c r="N100" s="5"/>
      <c r="O100" s="24"/>
    </row>
    <row r="101" customFormat="false" ht="21.75" hidden="false" customHeight="true" outlineLevel="0" collapsed="false">
      <c r="A101" s="17"/>
      <c r="B101" s="11"/>
      <c r="C101" s="12"/>
      <c r="D101" s="18"/>
      <c r="E101" s="18"/>
      <c r="F101" s="18"/>
      <c r="G101" s="19" t="str">
        <f aca="false">IFERROR(F101/D101,"")</f>
        <v/>
      </c>
      <c r="H101" s="20" t="str">
        <f aca="false">IFERROR(C101/F101,"")</f>
        <v/>
      </c>
      <c r="I101" s="20" t="str">
        <f aca="false">IFERROR(C101/D101*1000,"")</f>
        <v/>
      </c>
      <c r="J101" s="11"/>
      <c r="K101" s="20" t="str">
        <f aca="false">IFERROR(C101/J101,"")</f>
        <v/>
      </c>
      <c r="L101" s="19" t="str">
        <f aca="false">IFERROR(J101/F101,"")</f>
        <v/>
      </c>
      <c r="M101" s="11"/>
      <c r="N101" s="11"/>
      <c r="O101" s="21"/>
    </row>
    <row r="102" customFormat="false" ht="21.75" hidden="false" customHeight="true" outlineLevel="0" collapsed="false">
      <c r="A102" s="22"/>
      <c r="B102" s="5"/>
      <c r="C102" s="7"/>
      <c r="D102" s="23"/>
      <c r="E102" s="23"/>
      <c r="F102" s="23"/>
      <c r="G102" s="19" t="str">
        <f aca="false">IFERROR(F102/D102,"")</f>
        <v/>
      </c>
      <c r="H102" s="20" t="str">
        <f aca="false">IFERROR(C102/F102,"")</f>
        <v/>
      </c>
      <c r="I102" s="20" t="str">
        <f aca="false">IFERROR(C102/D102*1000,"")</f>
        <v/>
      </c>
      <c r="J102" s="5"/>
      <c r="K102" s="20" t="str">
        <f aca="false">IFERROR(C102/J102,"")</f>
        <v/>
      </c>
      <c r="L102" s="19" t="str">
        <f aca="false">IFERROR(J102/F102,"")</f>
        <v/>
      </c>
      <c r="M102" s="5"/>
      <c r="N102" s="5"/>
      <c r="O102" s="24"/>
    </row>
    <row r="103" customFormat="false" ht="21.75" hidden="false" customHeight="true" outlineLevel="0" collapsed="false">
      <c r="A103" s="17"/>
      <c r="B103" s="11"/>
      <c r="C103" s="12"/>
      <c r="D103" s="18"/>
      <c r="E103" s="18"/>
      <c r="F103" s="18"/>
      <c r="G103" s="19" t="str">
        <f aca="false">IFERROR(F103/D103,"")</f>
        <v/>
      </c>
      <c r="H103" s="20" t="str">
        <f aca="false">IFERROR(C103/F103,"")</f>
        <v/>
      </c>
      <c r="I103" s="20" t="str">
        <f aca="false">IFERROR(C103/D103*1000,"")</f>
        <v/>
      </c>
      <c r="J103" s="11"/>
      <c r="K103" s="20" t="str">
        <f aca="false">IFERROR(C103/J103,"")</f>
        <v/>
      </c>
      <c r="L103" s="19" t="str">
        <f aca="false">IFERROR(J103/F103,"")</f>
        <v/>
      </c>
      <c r="M103" s="11"/>
      <c r="N103" s="11"/>
      <c r="O103" s="21"/>
    </row>
    <row r="104" customFormat="false" ht="21.75" hidden="false" customHeight="true" outlineLevel="0" collapsed="false">
      <c r="A104" s="22"/>
      <c r="B104" s="5"/>
      <c r="C104" s="7"/>
      <c r="D104" s="23"/>
      <c r="E104" s="23"/>
      <c r="F104" s="23"/>
      <c r="G104" s="19" t="str">
        <f aca="false">IFERROR(F104/D104,"")</f>
        <v/>
      </c>
      <c r="H104" s="20" t="str">
        <f aca="false">IFERROR(C104/F104,"")</f>
        <v/>
      </c>
      <c r="I104" s="20" t="str">
        <f aca="false">IFERROR(C104/D104*1000,"")</f>
        <v/>
      </c>
      <c r="J104" s="5"/>
      <c r="K104" s="20" t="str">
        <f aca="false">IFERROR(C104/J104,"")</f>
        <v/>
      </c>
      <c r="L104" s="19" t="str">
        <f aca="false">IFERROR(J104/F104,"")</f>
        <v/>
      </c>
      <c r="M104" s="5"/>
      <c r="N104" s="5"/>
      <c r="O104" s="24"/>
    </row>
    <row r="105" customFormat="false" ht="21.75" hidden="false" customHeight="true" outlineLevel="0" collapsed="false">
      <c r="A105" s="17"/>
      <c r="B105" s="11"/>
      <c r="C105" s="12"/>
      <c r="D105" s="18"/>
      <c r="E105" s="18"/>
      <c r="F105" s="18"/>
      <c r="G105" s="19" t="str">
        <f aca="false">IFERROR(F105/D105,"")</f>
        <v/>
      </c>
      <c r="H105" s="20" t="str">
        <f aca="false">IFERROR(C105/F105,"")</f>
        <v/>
      </c>
      <c r="I105" s="20" t="str">
        <f aca="false">IFERROR(C105/D105*1000,"")</f>
        <v/>
      </c>
      <c r="J105" s="11"/>
      <c r="K105" s="20" t="str">
        <f aca="false">IFERROR(C105/J105,"")</f>
        <v/>
      </c>
      <c r="L105" s="19" t="str">
        <f aca="false">IFERROR(J105/F105,"")</f>
        <v/>
      </c>
      <c r="M105" s="11"/>
      <c r="N105" s="11"/>
      <c r="O105" s="21"/>
    </row>
    <row r="106" customFormat="false" ht="21.75" hidden="false" customHeight="true" outlineLevel="0" collapsed="false">
      <c r="A106" s="22"/>
      <c r="B106" s="5"/>
      <c r="C106" s="7"/>
      <c r="D106" s="23"/>
      <c r="E106" s="23"/>
      <c r="F106" s="23"/>
      <c r="G106" s="19" t="str">
        <f aca="false">IFERROR(F106/D106,"")</f>
        <v/>
      </c>
      <c r="H106" s="20" t="str">
        <f aca="false">IFERROR(C106/F106,"")</f>
        <v/>
      </c>
      <c r="I106" s="20" t="str">
        <f aca="false">IFERROR(C106/D106*1000,"")</f>
        <v/>
      </c>
      <c r="J106" s="5"/>
      <c r="K106" s="20" t="str">
        <f aca="false">IFERROR(C106/J106,"")</f>
        <v/>
      </c>
      <c r="L106" s="19" t="str">
        <f aca="false">IFERROR(J106/F106,"")</f>
        <v/>
      </c>
      <c r="M106" s="5"/>
      <c r="N106" s="5"/>
      <c r="O106" s="24"/>
    </row>
    <row r="107" customFormat="false" ht="21.75" hidden="false" customHeight="true" outlineLevel="0" collapsed="false">
      <c r="A107" s="17"/>
      <c r="B107" s="11"/>
      <c r="C107" s="12"/>
      <c r="D107" s="18"/>
      <c r="E107" s="18"/>
      <c r="F107" s="18"/>
      <c r="G107" s="19" t="str">
        <f aca="false">IFERROR(F107/D107,"")</f>
        <v/>
      </c>
      <c r="H107" s="20" t="str">
        <f aca="false">IFERROR(C107/F107,"")</f>
        <v/>
      </c>
      <c r="I107" s="20" t="str">
        <f aca="false">IFERROR(C107/D107*1000,"")</f>
        <v/>
      </c>
      <c r="J107" s="11"/>
      <c r="K107" s="20" t="str">
        <f aca="false">IFERROR(C107/J107,"")</f>
        <v/>
      </c>
      <c r="L107" s="19" t="str">
        <f aca="false">IFERROR(J107/F107,"")</f>
        <v/>
      </c>
      <c r="M107" s="11"/>
      <c r="N107" s="11"/>
      <c r="O107" s="21"/>
    </row>
    <row r="108" customFormat="false" ht="21.75" hidden="false" customHeight="true" outlineLevel="0" collapsed="false">
      <c r="A108" s="22"/>
      <c r="B108" s="5"/>
      <c r="C108" s="7"/>
      <c r="D108" s="23"/>
      <c r="E108" s="23"/>
      <c r="F108" s="23"/>
      <c r="G108" s="19" t="str">
        <f aca="false">IFERROR(F108/D108,"")</f>
        <v/>
      </c>
      <c r="H108" s="20" t="str">
        <f aca="false">IFERROR(C108/F108,"")</f>
        <v/>
      </c>
      <c r="I108" s="20" t="str">
        <f aca="false">IFERROR(C108/D108*1000,"")</f>
        <v/>
      </c>
      <c r="J108" s="5"/>
      <c r="K108" s="20" t="str">
        <f aca="false">IFERROR(C108/J108,"")</f>
        <v/>
      </c>
      <c r="L108" s="19" t="str">
        <f aca="false">IFERROR(J108/F108,"")</f>
        <v/>
      </c>
      <c r="M108" s="5"/>
      <c r="N108" s="5"/>
      <c r="O108" s="24"/>
    </row>
    <row r="109" customFormat="false" ht="21.75" hidden="false" customHeight="true" outlineLevel="0" collapsed="false">
      <c r="A109" s="17"/>
      <c r="B109" s="11"/>
      <c r="C109" s="12"/>
      <c r="D109" s="18"/>
      <c r="E109" s="18"/>
      <c r="F109" s="18"/>
      <c r="G109" s="19" t="str">
        <f aca="false">IFERROR(F109/D109,"")</f>
        <v/>
      </c>
      <c r="H109" s="20" t="str">
        <f aca="false">IFERROR(C109/F109,"")</f>
        <v/>
      </c>
      <c r="I109" s="20" t="str">
        <f aca="false">IFERROR(C109/D109*1000,"")</f>
        <v/>
      </c>
      <c r="J109" s="11"/>
      <c r="K109" s="20" t="str">
        <f aca="false">IFERROR(C109/J109,"")</f>
        <v/>
      </c>
      <c r="L109" s="19" t="str">
        <f aca="false">IFERROR(J109/F109,"")</f>
        <v/>
      </c>
      <c r="M109" s="11"/>
      <c r="N109" s="11"/>
      <c r="O109" s="21"/>
    </row>
    <row r="110" customFormat="false" ht="21.75" hidden="false" customHeight="true" outlineLevel="0" collapsed="false">
      <c r="A110" s="22"/>
      <c r="B110" s="5"/>
      <c r="C110" s="7"/>
      <c r="D110" s="23"/>
      <c r="E110" s="23"/>
      <c r="F110" s="23"/>
      <c r="G110" s="19" t="str">
        <f aca="false">IFERROR(F110/D110,"")</f>
        <v/>
      </c>
      <c r="H110" s="20" t="str">
        <f aca="false">IFERROR(C110/F110,"")</f>
        <v/>
      </c>
      <c r="I110" s="20" t="str">
        <f aca="false">IFERROR(C110/D110*1000,"")</f>
        <v/>
      </c>
      <c r="J110" s="5"/>
      <c r="K110" s="20" t="str">
        <f aca="false">IFERROR(C110/J110,"")</f>
        <v/>
      </c>
      <c r="L110" s="19" t="str">
        <f aca="false">IFERROR(J110/F110,"")</f>
        <v/>
      </c>
      <c r="M110" s="5"/>
      <c r="N110" s="5"/>
      <c r="O110" s="24"/>
    </row>
    <row r="111" customFormat="false" ht="21.75" hidden="false" customHeight="true" outlineLevel="0" collapsed="false">
      <c r="A111" s="17"/>
      <c r="B111" s="11"/>
      <c r="C111" s="12"/>
      <c r="D111" s="18"/>
      <c r="E111" s="18"/>
      <c r="F111" s="18"/>
      <c r="G111" s="19" t="str">
        <f aca="false">IFERROR(F111/D111,"")</f>
        <v/>
      </c>
      <c r="H111" s="20" t="str">
        <f aca="false">IFERROR(C111/F111,"")</f>
        <v/>
      </c>
      <c r="I111" s="20" t="str">
        <f aca="false">IFERROR(C111/D111*1000,"")</f>
        <v/>
      </c>
      <c r="J111" s="11"/>
      <c r="K111" s="20" t="str">
        <f aca="false">IFERROR(C111/J111,"")</f>
        <v/>
      </c>
      <c r="L111" s="19" t="str">
        <f aca="false">IFERROR(J111/F111,"")</f>
        <v/>
      </c>
      <c r="M111" s="11"/>
      <c r="N111" s="11"/>
      <c r="O111" s="21"/>
    </row>
    <row r="112" customFormat="false" ht="21.75" hidden="false" customHeight="true" outlineLevel="0" collapsed="false">
      <c r="A112" s="22"/>
      <c r="B112" s="5"/>
      <c r="C112" s="7"/>
      <c r="D112" s="23"/>
      <c r="E112" s="23"/>
      <c r="F112" s="23"/>
      <c r="G112" s="19" t="str">
        <f aca="false">IFERROR(F112/D112,"")</f>
        <v/>
      </c>
      <c r="H112" s="20" t="str">
        <f aca="false">IFERROR(C112/F112,"")</f>
        <v/>
      </c>
      <c r="I112" s="20" t="str">
        <f aca="false">IFERROR(C112/D112*1000,"")</f>
        <v/>
      </c>
      <c r="J112" s="5"/>
      <c r="K112" s="20" t="str">
        <f aca="false">IFERROR(C112/J112,"")</f>
        <v/>
      </c>
      <c r="L112" s="19" t="str">
        <f aca="false">IFERROR(J112/F112,"")</f>
        <v/>
      </c>
      <c r="M112" s="5"/>
      <c r="N112" s="5"/>
      <c r="O112" s="24"/>
    </row>
    <row r="113" customFormat="false" ht="21.75" hidden="false" customHeight="true" outlineLevel="0" collapsed="false">
      <c r="A113" s="17"/>
      <c r="B113" s="11"/>
      <c r="C113" s="12"/>
      <c r="D113" s="18"/>
      <c r="E113" s="18"/>
      <c r="F113" s="18"/>
      <c r="G113" s="19" t="str">
        <f aca="false">IFERROR(F113/D113,"")</f>
        <v/>
      </c>
      <c r="H113" s="20" t="str">
        <f aca="false">IFERROR(C113/F113,"")</f>
        <v/>
      </c>
      <c r="I113" s="20" t="str">
        <f aca="false">IFERROR(C113/D113*1000,"")</f>
        <v/>
      </c>
      <c r="J113" s="11"/>
      <c r="K113" s="20" t="str">
        <f aca="false">IFERROR(C113/J113,"")</f>
        <v/>
      </c>
      <c r="L113" s="19" t="str">
        <f aca="false">IFERROR(J113/F113,"")</f>
        <v/>
      </c>
      <c r="M113" s="11"/>
      <c r="N113" s="11"/>
      <c r="O113" s="21"/>
    </row>
    <row r="114" customFormat="false" ht="21.75" hidden="false" customHeight="true" outlineLevel="0" collapsed="false">
      <c r="A114" s="22"/>
      <c r="B114" s="5"/>
      <c r="C114" s="7"/>
      <c r="D114" s="23"/>
      <c r="E114" s="23"/>
      <c r="F114" s="23"/>
      <c r="G114" s="19" t="str">
        <f aca="false">IFERROR(F114/D114,"")</f>
        <v/>
      </c>
      <c r="H114" s="20" t="str">
        <f aca="false">IFERROR(C114/F114,"")</f>
        <v/>
      </c>
      <c r="I114" s="20" t="str">
        <f aca="false">IFERROR(C114/D114*1000,"")</f>
        <v/>
      </c>
      <c r="J114" s="5"/>
      <c r="K114" s="20" t="str">
        <f aca="false">IFERROR(C114/J114,"")</f>
        <v/>
      </c>
      <c r="L114" s="19" t="str">
        <f aca="false">IFERROR(J114/F114,"")</f>
        <v/>
      </c>
      <c r="M114" s="5"/>
      <c r="N114" s="5"/>
      <c r="O114" s="24"/>
    </row>
    <row r="115" customFormat="false" ht="21.75" hidden="false" customHeight="true" outlineLevel="0" collapsed="false">
      <c r="A115" s="17"/>
      <c r="B115" s="11"/>
      <c r="C115" s="12"/>
      <c r="D115" s="18"/>
      <c r="E115" s="18"/>
      <c r="F115" s="18"/>
      <c r="G115" s="19" t="str">
        <f aca="false">IFERROR(F115/D115,"")</f>
        <v/>
      </c>
      <c r="H115" s="20" t="str">
        <f aca="false">IFERROR(C115/F115,"")</f>
        <v/>
      </c>
      <c r="I115" s="20" t="str">
        <f aca="false">IFERROR(C115/D115*1000,"")</f>
        <v/>
      </c>
      <c r="J115" s="11"/>
      <c r="K115" s="20" t="str">
        <f aca="false">IFERROR(C115/J115,"")</f>
        <v/>
      </c>
      <c r="L115" s="19" t="str">
        <f aca="false">IFERROR(J115/F115,"")</f>
        <v/>
      </c>
      <c r="M115" s="11"/>
      <c r="N115" s="11"/>
      <c r="O115" s="21"/>
    </row>
    <row r="116" customFormat="false" ht="21.75" hidden="false" customHeight="true" outlineLevel="0" collapsed="false">
      <c r="A116" s="22"/>
      <c r="B116" s="5"/>
      <c r="C116" s="7"/>
      <c r="D116" s="23"/>
      <c r="E116" s="23"/>
      <c r="F116" s="23"/>
      <c r="G116" s="19" t="str">
        <f aca="false">IFERROR(F116/D116,"")</f>
        <v/>
      </c>
      <c r="H116" s="20" t="str">
        <f aca="false">IFERROR(C116/F116,"")</f>
        <v/>
      </c>
      <c r="I116" s="20" t="str">
        <f aca="false">IFERROR(C116/D116*1000,"")</f>
        <v/>
      </c>
      <c r="J116" s="5"/>
      <c r="K116" s="20" t="str">
        <f aca="false">IFERROR(C116/J116,"")</f>
        <v/>
      </c>
      <c r="L116" s="19" t="str">
        <f aca="false">IFERROR(J116/F116,"")</f>
        <v/>
      </c>
      <c r="M116" s="5"/>
      <c r="N116" s="5"/>
      <c r="O116" s="24"/>
    </row>
    <row r="117" customFormat="false" ht="21.75" hidden="false" customHeight="true" outlineLevel="0" collapsed="false">
      <c r="A117" s="17"/>
      <c r="B117" s="11"/>
      <c r="C117" s="12"/>
      <c r="D117" s="18"/>
      <c r="E117" s="18"/>
      <c r="F117" s="18"/>
      <c r="G117" s="19" t="str">
        <f aca="false">IFERROR(F117/D117,"")</f>
        <v/>
      </c>
      <c r="H117" s="20" t="str">
        <f aca="false">IFERROR(C117/F117,"")</f>
        <v/>
      </c>
      <c r="I117" s="20" t="str">
        <f aca="false">IFERROR(C117/D117*1000,"")</f>
        <v/>
      </c>
      <c r="J117" s="11"/>
      <c r="K117" s="20" t="str">
        <f aca="false">IFERROR(C117/J117,"")</f>
        <v/>
      </c>
      <c r="L117" s="19" t="str">
        <f aca="false">IFERROR(J117/F117,"")</f>
        <v/>
      </c>
      <c r="M117" s="11"/>
      <c r="N117" s="11"/>
      <c r="O117" s="21"/>
    </row>
    <row r="118" customFormat="false" ht="21.75" hidden="false" customHeight="true" outlineLevel="0" collapsed="false">
      <c r="A118" s="22"/>
      <c r="B118" s="5"/>
      <c r="C118" s="7"/>
      <c r="D118" s="23"/>
      <c r="E118" s="23"/>
      <c r="F118" s="23"/>
      <c r="G118" s="19" t="str">
        <f aca="false">IFERROR(F118/D118,"")</f>
        <v/>
      </c>
      <c r="H118" s="20" t="str">
        <f aca="false">IFERROR(C118/F118,"")</f>
        <v/>
      </c>
      <c r="I118" s="20" t="str">
        <f aca="false">IFERROR(C118/D118*1000,"")</f>
        <v/>
      </c>
      <c r="J118" s="5"/>
      <c r="K118" s="20" t="str">
        <f aca="false">IFERROR(C118/J118,"")</f>
        <v/>
      </c>
      <c r="L118" s="19" t="str">
        <f aca="false">IFERROR(J118/F118,"")</f>
        <v/>
      </c>
      <c r="M118" s="5"/>
      <c r="N118" s="5"/>
      <c r="O118" s="24"/>
    </row>
    <row r="119" customFormat="false" ht="21.75" hidden="false" customHeight="true" outlineLevel="0" collapsed="false">
      <c r="A119" s="17"/>
      <c r="B119" s="11"/>
      <c r="C119" s="12"/>
      <c r="D119" s="18"/>
      <c r="E119" s="18"/>
      <c r="F119" s="18"/>
      <c r="G119" s="19" t="str">
        <f aca="false">IFERROR(F119/D119,"")</f>
        <v/>
      </c>
      <c r="H119" s="20" t="str">
        <f aca="false">IFERROR(C119/F119,"")</f>
        <v/>
      </c>
      <c r="I119" s="20" t="str">
        <f aca="false">IFERROR(C119/D119*1000,"")</f>
        <v/>
      </c>
      <c r="J119" s="11"/>
      <c r="K119" s="20" t="str">
        <f aca="false">IFERROR(C119/J119,"")</f>
        <v/>
      </c>
      <c r="L119" s="19" t="str">
        <f aca="false">IFERROR(J119/F119,"")</f>
        <v/>
      </c>
      <c r="M119" s="11"/>
      <c r="N119" s="11"/>
      <c r="O119" s="21"/>
    </row>
    <row r="120" customFormat="false" ht="21.75" hidden="false" customHeight="true" outlineLevel="0" collapsed="false">
      <c r="A120" s="22"/>
      <c r="B120" s="5"/>
      <c r="C120" s="7"/>
      <c r="D120" s="23"/>
      <c r="E120" s="23"/>
      <c r="F120" s="23"/>
      <c r="G120" s="19" t="str">
        <f aca="false">IFERROR(F120/D120,"")</f>
        <v/>
      </c>
      <c r="H120" s="20" t="str">
        <f aca="false">IFERROR(C120/F120,"")</f>
        <v/>
      </c>
      <c r="I120" s="20" t="str">
        <f aca="false">IFERROR(C120/D120*1000,"")</f>
        <v/>
      </c>
      <c r="J120" s="5"/>
      <c r="K120" s="20" t="str">
        <f aca="false">IFERROR(C120/J120,"")</f>
        <v/>
      </c>
      <c r="L120" s="19" t="str">
        <f aca="false">IFERROR(J120/F120,"")</f>
        <v/>
      </c>
      <c r="M120" s="5"/>
      <c r="N120" s="5"/>
      <c r="O120" s="24"/>
    </row>
    <row r="121" customFormat="false" ht="21.75" hidden="false" customHeight="true" outlineLevel="0" collapsed="false">
      <c r="A121" s="17"/>
      <c r="B121" s="11"/>
      <c r="C121" s="12"/>
      <c r="D121" s="18"/>
      <c r="E121" s="18"/>
      <c r="F121" s="18"/>
      <c r="G121" s="19" t="str">
        <f aca="false">IFERROR(F121/D121,"")</f>
        <v/>
      </c>
      <c r="H121" s="20" t="str">
        <f aca="false">IFERROR(C121/F121,"")</f>
        <v/>
      </c>
      <c r="I121" s="20" t="str">
        <f aca="false">IFERROR(C121/D121*1000,"")</f>
        <v/>
      </c>
      <c r="J121" s="11"/>
      <c r="K121" s="20" t="str">
        <f aca="false">IFERROR(C121/J121,"")</f>
        <v/>
      </c>
      <c r="L121" s="19" t="str">
        <f aca="false">IFERROR(J121/F121,"")</f>
        <v/>
      </c>
      <c r="M121" s="11"/>
      <c r="N121" s="11"/>
      <c r="O121" s="21"/>
    </row>
    <row r="122" customFormat="false" ht="21.75" hidden="false" customHeight="true" outlineLevel="0" collapsed="false">
      <c r="A122" s="22"/>
      <c r="B122" s="5"/>
      <c r="C122" s="7"/>
      <c r="D122" s="23"/>
      <c r="E122" s="23"/>
      <c r="F122" s="23"/>
      <c r="G122" s="19" t="str">
        <f aca="false">IFERROR(F122/D122,"")</f>
        <v/>
      </c>
      <c r="H122" s="20" t="str">
        <f aca="false">IFERROR(C122/F122,"")</f>
        <v/>
      </c>
      <c r="I122" s="20" t="str">
        <f aca="false">IFERROR(C122/D122*1000,"")</f>
        <v/>
      </c>
      <c r="J122" s="5"/>
      <c r="K122" s="20" t="str">
        <f aca="false">IFERROR(C122/J122,"")</f>
        <v/>
      </c>
      <c r="L122" s="19" t="str">
        <f aca="false">IFERROR(J122/F122,"")</f>
        <v/>
      </c>
      <c r="M122" s="5"/>
      <c r="N122" s="5"/>
      <c r="O122" s="24"/>
    </row>
    <row r="123" customFormat="false" ht="21.75" hidden="false" customHeight="true" outlineLevel="0" collapsed="false">
      <c r="A123" s="17"/>
      <c r="B123" s="11"/>
      <c r="C123" s="12"/>
      <c r="D123" s="18"/>
      <c r="E123" s="18"/>
      <c r="F123" s="18"/>
      <c r="G123" s="19" t="str">
        <f aca="false">IFERROR(F123/D123,"")</f>
        <v/>
      </c>
      <c r="H123" s="20" t="str">
        <f aca="false">IFERROR(C123/F123,"")</f>
        <v/>
      </c>
      <c r="I123" s="20" t="str">
        <f aca="false">IFERROR(C123/D123*1000,"")</f>
        <v/>
      </c>
      <c r="J123" s="11"/>
      <c r="K123" s="20" t="str">
        <f aca="false">IFERROR(C123/J123,"")</f>
        <v/>
      </c>
      <c r="L123" s="19" t="str">
        <f aca="false">IFERROR(J123/F123,"")</f>
        <v/>
      </c>
      <c r="M123" s="11"/>
      <c r="N123" s="11"/>
      <c r="O123" s="21"/>
    </row>
    <row r="124" customFormat="false" ht="21.75" hidden="false" customHeight="true" outlineLevel="0" collapsed="false">
      <c r="A124" s="22"/>
      <c r="B124" s="5"/>
      <c r="C124" s="7"/>
      <c r="D124" s="23"/>
      <c r="E124" s="23"/>
      <c r="F124" s="23"/>
      <c r="G124" s="19" t="str">
        <f aca="false">IFERROR(F124/D124,"")</f>
        <v/>
      </c>
      <c r="H124" s="20" t="str">
        <f aca="false">IFERROR(C124/F124,"")</f>
        <v/>
      </c>
      <c r="I124" s="20" t="str">
        <f aca="false">IFERROR(C124/D124*1000,"")</f>
        <v/>
      </c>
      <c r="J124" s="5"/>
      <c r="K124" s="20" t="str">
        <f aca="false">IFERROR(C124/J124,"")</f>
        <v/>
      </c>
      <c r="L124" s="19" t="str">
        <f aca="false">IFERROR(J124/F124,"")</f>
        <v/>
      </c>
      <c r="M124" s="5"/>
      <c r="N124" s="5"/>
      <c r="O124" s="24"/>
    </row>
    <row r="125" customFormat="false" ht="21.75" hidden="false" customHeight="true" outlineLevel="0" collapsed="false">
      <c r="A125" s="17"/>
      <c r="B125" s="11"/>
      <c r="C125" s="12"/>
      <c r="D125" s="18"/>
      <c r="E125" s="18"/>
      <c r="F125" s="18"/>
      <c r="G125" s="19" t="str">
        <f aca="false">IFERROR(F125/D125,"")</f>
        <v/>
      </c>
      <c r="H125" s="20" t="str">
        <f aca="false">IFERROR(C125/F125,"")</f>
        <v/>
      </c>
      <c r="I125" s="20" t="str">
        <f aca="false">IFERROR(C125/D125*1000,"")</f>
        <v/>
      </c>
      <c r="J125" s="11"/>
      <c r="K125" s="20" t="str">
        <f aca="false">IFERROR(C125/J125,"")</f>
        <v/>
      </c>
      <c r="L125" s="19" t="str">
        <f aca="false">IFERROR(J125/F125,"")</f>
        <v/>
      </c>
      <c r="M125" s="11"/>
      <c r="N125" s="11"/>
      <c r="O125" s="21"/>
    </row>
    <row r="126" customFormat="false" ht="21.75" hidden="false" customHeight="true" outlineLevel="0" collapsed="false">
      <c r="A126" s="22"/>
      <c r="B126" s="5"/>
      <c r="C126" s="7"/>
      <c r="D126" s="23"/>
      <c r="E126" s="23"/>
      <c r="F126" s="23"/>
      <c r="G126" s="19" t="str">
        <f aca="false">IFERROR(F126/D126,"")</f>
        <v/>
      </c>
      <c r="H126" s="20" t="str">
        <f aca="false">IFERROR(C126/F126,"")</f>
        <v/>
      </c>
      <c r="I126" s="20" t="str">
        <f aca="false">IFERROR(C126/D126*1000,"")</f>
        <v/>
      </c>
      <c r="J126" s="5"/>
      <c r="K126" s="20" t="str">
        <f aca="false">IFERROR(C126/J126,"")</f>
        <v/>
      </c>
      <c r="L126" s="19" t="str">
        <f aca="false">IFERROR(J126/F126,"")</f>
        <v/>
      </c>
      <c r="M126" s="5"/>
      <c r="N126" s="5"/>
      <c r="O126" s="24"/>
    </row>
    <row r="127" customFormat="false" ht="21.75" hidden="false" customHeight="true" outlineLevel="0" collapsed="false">
      <c r="A127" s="17"/>
      <c r="B127" s="11"/>
      <c r="C127" s="12"/>
      <c r="D127" s="18"/>
      <c r="E127" s="18"/>
      <c r="F127" s="18"/>
      <c r="G127" s="19" t="str">
        <f aca="false">IFERROR(F127/D127,"")</f>
        <v/>
      </c>
      <c r="H127" s="20" t="str">
        <f aca="false">IFERROR(C127/F127,"")</f>
        <v/>
      </c>
      <c r="I127" s="20" t="str">
        <f aca="false">IFERROR(C127/D127*1000,"")</f>
        <v/>
      </c>
      <c r="J127" s="11"/>
      <c r="K127" s="20" t="str">
        <f aca="false">IFERROR(C127/J127,"")</f>
        <v/>
      </c>
      <c r="L127" s="19" t="str">
        <f aca="false">IFERROR(J127/F127,"")</f>
        <v/>
      </c>
      <c r="M127" s="11"/>
      <c r="N127" s="11"/>
      <c r="O127" s="21"/>
    </row>
    <row r="128" customFormat="false" ht="21.75" hidden="false" customHeight="true" outlineLevel="0" collapsed="false">
      <c r="A128" s="22"/>
      <c r="B128" s="5"/>
      <c r="C128" s="7"/>
      <c r="D128" s="23"/>
      <c r="E128" s="23"/>
      <c r="F128" s="23"/>
      <c r="G128" s="19" t="str">
        <f aca="false">IFERROR(F128/D128,"")</f>
        <v/>
      </c>
      <c r="H128" s="20" t="str">
        <f aca="false">IFERROR(C128/F128,"")</f>
        <v/>
      </c>
      <c r="I128" s="20" t="str">
        <f aca="false">IFERROR(C128/D128*1000,"")</f>
        <v/>
      </c>
      <c r="J128" s="5"/>
      <c r="K128" s="20" t="str">
        <f aca="false">IFERROR(C128/J128,"")</f>
        <v/>
      </c>
      <c r="L128" s="19" t="str">
        <f aca="false">IFERROR(J128/F128,"")</f>
        <v/>
      </c>
      <c r="M128" s="5"/>
      <c r="N128" s="5"/>
      <c r="O128" s="24"/>
    </row>
    <row r="129" customFormat="false" ht="21.75" hidden="false" customHeight="true" outlineLevel="0" collapsed="false">
      <c r="A129" s="17"/>
      <c r="B129" s="11"/>
      <c r="C129" s="12"/>
      <c r="D129" s="18"/>
      <c r="E129" s="18"/>
      <c r="F129" s="18"/>
      <c r="G129" s="19" t="str">
        <f aca="false">IFERROR(F129/D129,"")</f>
        <v/>
      </c>
      <c r="H129" s="20" t="str">
        <f aca="false">IFERROR(C129/F129,"")</f>
        <v/>
      </c>
      <c r="I129" s="20" t="str">
        <f aca="false">IFERROR(C129/D129*1000,"")</f>
        <v/>
      </c>
      <c r="J129" s="11"/>
      <c r="K129" s="20" t="str">
        <f aca="false">IFERROR(C129/J129,"")</f>
        <v/>
      </c>
      <c r="L129" s="19" t="str">
        <f aca="false">IFERROR(J129/F129,"")</f>
        <v/>
      </c>
      <c r="M129" s="11"/>
      <c r="N129" s="11"/>
      <c r="O129" s="21"/>
    </row>
    <row r="130" customFormat="false" ht="21.75" hidden="false" customHeight="true" outlineLevel="0" collapsed="false">
      <c r="A130" s="22"/>
      <c r="B130" s="5"/>
      <c r="C130" s="7"/>
      <c r="D130" s="23"/>
      <c r="E130" s="23"/>
      <c r="F130" s="23"/>
      <c r="G130" s="19" t="str">
        <f aca="false">IFERROR(F130/D130,"")</f>
        <v/>
      </c>
      <c r="H130" s="20" t="str">
        <f aca="false">IFERROR(C130/F130,"")</f>
        <v/>
      </c>
      <c r="I130" s="20" t="str">
        <f aca="false">IFERROR(C130/D130*1000,"")</f>
        <v/>
      </c>
      <c r="J130" s="5"/>
      <c r="K130" s="20" t="str">
        <f aca="false">IFERROR(C130/J130,"")</f>
        <v/>
      </c>
      <c r="L130" s="19" t="str">
        <f aca="false">IFERROR(J130/F130,"")</f>
        <v/>
      </c>
      <c r="M130" s="5"/>
      <c r="N130" s="5"/>
      <c r="O130" s="24"/>
    </row>
    <row r="131" customFormat="false" ht="21.75" hidden="false" customHeight="true" outlineLevel="0" collapsed="false">
      <c r="A131" s="17"/>
      <c r="B131" s="11"/>
      <c r="C131" s="12"/>
      <c r="D131" s="18"/>
      <c r="E131" s="18"/>
      <c r="F131" s="18"/>
      <c r="G131" s="19" t="str">
        <f aca="false">IFERROR(F131/D131,"")</f>
        <v/>
      </c>
      <c r="H131" s="20" t="str">
        <f aca="false">IFERROR(C131/F131,"")</f>
        <v/>
      </c>
      <c r="I131" s="20" t="str">
        <f aca="false">IFERROR(C131/D131*1000,"")</f>
        <v/>
      </c>
      <c r="J131" s="11"/>
      <c r="K131" s="20" t="str">
        <f aca="false">IFERROR(C131/J131,"")</f>
        <v/>
      </c>
      <c r="L131" s="19" t="str">
        <f aca="false">IFERROR(J131/F131,"")</f>
        <v/>
      </c>
      <c r="M131" s="11"/>
      <c r="N131" s="11"/>
      <c r="O131" s="21"/>
    </row>
    <row r="132" customFormat="false" ht="21.75" hidden="false" customHeight="true" outlineLevel="0" collapsed="false">
      <c r="A132" s="22"/>
      <c r="B132" s="5"/>
      <c r="C132" s="7"/>
      <c r="D132" s="23"/>
      <c r="E132" s="23"/>
      <c r="F132" s="23"/>
      <c r="G132" s="19" t="str">
        <f aca="false">IFERROR(F132/D132,"")</f>
        <v/>
      </c>
      <c r="H132" s="20" t="str">
        <f aca="false">IFERROR(C132/F132,"")</f>
        <v/>
      </c>
      <c r="I132" s="20" t="str">
        <f aca="false">IFERROR(C132/D132*1000,"")</f>
        <v/>
      </c>
      <c r="J132" s="5"/>
      <c r="K132" s="20" t="str">
        <f aca="false">IFERROR(C132/J132,"")</f>
        <v/>
      </c>
      <c r="L132" s="19" t="str">
        <f aca="false">IFERROR(J132/F132,"")</f>
        <v/>
      </c>
      <c r="M132" s="5"/>
      <c r="N132" s="5"/>
      <c r="O132" s="24"/>
    </row>
    <row r="133" customFormat="false" ht="21.75" hidden="false" customHeight="true" outlineLevel="0" collapsed="false">
      <c r="A133" s="17"/>
      <c r="B133" s="11"/>
      <c r="C133" s="12"/>
      <c r="D133" s="18"/>
      <c r="E133" s="18"/>
      <c r="F133" s="18"/>
      <c r="G133" s="19" t="str">
        <f aca="false">IFERROR(F133/D133,"")</f>
        <v/>
      </c>
      <c r="H133" s="20" t="str">
        <f aca="false">IFERROR(C133/F133,"")</f>
        <v/>
      </c>
      <c r="I133" s="20" t="str">
        <f aca="false">IFERROR(C133/D133*1000,"")</f>
        <v/>
      </c>
      <c r="J133" s="11"/>
      <c r="K133" s="20" t="str">
        <f aca="false">IFERROR(C133/J133,"")</f>
        <v/>
      </c>
      <c r="L133" s="19" t="str">
        <f aca="false">IFERROR(J133/F133,"")</f>
        <v/>
      </c>
      <c r="M133" s="11"/>
      <c r="N133" s="11"/>
      <c r="O133" s="21"/>
    </row>
    <row r="134" customFormat="false" ht="21.75" hidden="false" customHeight="true" outlineLevel="0" collapsed="false">
      <c r="A134" s="22"/>
      <c r="B134" s="5"/>
      <c r="C134" s="7"/>
      <c r="D134" s="23"/>
      <c r="E134" s="23"/>
      <c r="F134" s="23"/>
      <c r="G134" s="19" t="str">
        <f aca="false">IFERROR(F134/D134,"")</f>
        <v/>
      </c>
      <c r="H134" s="20" t="str">
        <f aca="false">IFERROR(C134/F134,"")</f>
        <v/>
      </c>
      <c r="I134" s="20" t="str">
        <f aca="false">IFERROR(C134/D134*1000,"")</f>
        <v/>
      </c>
      <c r="J134" s="5"/>
      <c r="K134" s="20" t="str">
        <f aca="false">IFERROR(C134/J134,"")</f>
        <v/>
      </c>
      <c r="L134" s="19" t="str">
        <f aca="false">IFERROR(J134/F134,"")</f>
        <v/>
      </c>
      <c r="M134" s="5"/>
      <c r="N134" s="5"/>
      <c r="O134" s="24"/>
    </row>
    <row r="135" customFormat="false" ht="21.75" hidden="false" customHeight="true" outlineLevel="0" collapsed="false">
      <c r="A135" s="17"/>
      <c r="B135" s="11"/>
      <c r="C135" s="12"/>
      <c r="D135" s="18"/>
      <c r="E135" s="18"/>
      <c r="F135" s="18"/>
      <c r="G135" s="19" t="str">
        <f aca="false">IFERROR(F135/D135,"")</f>
        <v/>
      </c>
      <c r="H135" s="20" t="str">
        <f aca="false">IFERROR(C135/F135,"")</f>
        <v/>
      </c>
      <c r="I135" s="20" t="str">
        <f aca="false">IFERROR(C135/D135*1000,"")</f>
        <v/>
      </c>
      <c r="J135" s="11"/>
      <c r="K135" s="20" t="str">
        <f aca="false">IFERROR(C135/J135,"")</f>
        <v/>
      </c>
      <c r="L135" s="19" t="str">
        <f aca="false">IFERROR(J135/F135,"")</f>
        <v/>
      </c>
      <c r="M135" s="11"/>
      <c r="N135" s="11"/>
      <c r="O135" s="21"/>
    </row>
    <row r="136" customFormat="false" ht="21.75" hidden="false" customHeight="true" outlineLevel="0" collapsed="false">
      <c r="A136" s="22"/>
      <c r="B136" s="5"/>
      <c r="C136" s="7"/>
      <c r="D136" s="23"/>
      <c r="E136" s="23"/>
      <c r="F136" s="23"/>
      <c r="G136" s="19" t="str">
        <f aca="false">IFERROR(F136/D136,"")</f>
        <v/>
      </c>
      <c r="H136" s="20" t="str">
        <f aca="false">IFERROR(C136/F136,"")</f>
        <v/>
      </c>
      <c r="I136" s="20" t="str">
        <f aca="false">IFERROR(C136/D136*1000,"")</f>
        <v/>
      </c>
      <c r="J136" s="5"/>
      <c r="K136" s="20" t="str">
        <f aca="false">IFERROR(C136/J136,"")</f>
        <v/>
      </c>
      <c r="L136" s="19" t="str">
        <f aca="false">IFERROR(J136/F136,"")</f>
        <v/>
      </c>
      <c r="M136" s="5"/>
      <c r="N136" s="5"/>
      <c r="O136" s="24"/>
    </row>
    <row r="137" customFormat="false" ht="21.75" hidden="false" customHeight="true" outlineLevel="0" collapsed="false">
      <c r="A137" s="17"/>
      <c r="B137" s="11"/>
      <c r="C137" s="12"/>
      <c r="D137" s="18"/>
      <c r="E137" s="18"/>
      <c r="F137" s="18"/>
      <c r="G137" s="19" t="str">
        <f aca="false">IFERROR(F137/D137,"")</f>
        <v/>
      </c>
      <c r="H137" s="20" t="str">
        <f aca="false">IFERROR(C137/F137,"")</f>
        <v/>
      </c>
      <c r="I137" s="20" t="str">
        <f aca="false">IFERROR(C137/D137*1000,"")</f>
        <v/>
      </c>
      <c r="J137" s="11"/>
      <c r="K137" s="20" t="str">
        <f aca="false">IFERROR(C137/J137,"")</f>
        <v/>
      </c>
      <c r="L137" s="19" t="str">
        <f aca="false">IFERROR(J137/F137,"")</f>
        <v/>
      </c>
      <c r="M137" s="11"/>
      <c r="N137" s="11"/>
      <c r="O137" s="21"/>
    </row>
    <row r="138" customFormat="false" ht="21.75" hidden="false" customHeight="true" outlineLevel="0" collapsed="false">
      <c r="A138" s="22"/>
      <c r="B138" s="5"/>
      <c r="C138" s="7"/>
      <c r="D138" s="23"/>
      <c r="E138" s="23"/>
      <c r="F138" s="23"/>
      <c r="G138" s="19" t="str">
        <f aca="false">IFERROR(F138/D138,"")</f>
        <v/>
      </c>
      <c r="H138" s="20" t="str">
        <f aca="false">IFERROR(C138/F138,"")</f>
        <v/>
      </c>
      <c r="I138" s="20" t="str">
        <f aca="false">IFERROR(C138/D138*1000,"")</f>
        <v/>
      </c>
      <c r="J138" s="5"/>
      <c r="K138" s="20" t="str">
        <f aca="false">IFERROR(C138/J138,"")</f>
        <v/>
      </c>
      <c r="L138" s="19" t="str">
        <f aca="false">IFERROR(J138/F138,"")</f>
        <v/>
      </c>
      <c r="M138" s="5"/>
      <c r="N138" s="5"/>
      <c r="O138" s="24"/>
    </row>
    <row r="139" customFormat="false" ht="21.75" hidden="false" customHeight="true" outlineLevel="0" collapsed="false">
      <c r="A139" s="17"/>
      <c r="B139" s="11"/>
      <c r="C139" s="12"/>
      <c r="D139" s="18"/>
      <c r="E139" s="18"/>
      <c r="F139" s="18"/>
      <c r="G139" s="19" t="str">
        <f aca="false">IFERROR(F139/D139,"")</f>
        <v/>
      </c>
      <c r="H139" s="20" t="str">
        <f aca="false">IFERROR(C139/F139,"")</f>
        <v/>
      </c>
      <c r="I139" s="20" t="str">
        <f aca="false">IFERROR(C139/D139*1000,"")</f>
        <v/>
      </c>
      <c r="J139" s="11"/>
      <c r="K139" s="20" t="str">
        <f aca="false">IFERROR(C139/J139,"")</f>
        <v/>
      </c>
      <c r="L139" s="19" t="str">
        <f aca="false">IFERROR(J139/F139,"")</f>
        <v/>
      </c>
      <c r="M139" s="11"/>
      <c r="N139" s="11"/>
      <c r="O139" s="21"/>
    </row>
    <row r="140" customFormat="false" ht="21.75" hidden="false" customHeight="true" outlineLevel="0" collapsed="false">
      <c r="A140" s="22"/>
      <c r="B140" s="5"/>
      <c r="C140" s="7"/>
      <c r="D140" s="23"/>
      <c r="E140" s="23"/>
      <c r="F140" s="23"/>
      <c r="G140" s="19" t="str">
        <f aca="false">IFERROR(F140/D140,"")</f>
        <v/>
      </c>
      <c r="H140" s="20" t="str">
        <f aca="false">IFERROR(C140/F140,"")</f>
        <v/>
      </c>
      <c r="I140" s="20" t="str">
        <f aca="false">IFERROR(C140/D140*1000,"")</f>
        <v/>
      </c>
      <c r="J140" s="5"/>
      <c r="K140" s="20" t="str">
        <f aca="false">IFERROR(C140/J140,"")</f>
        <v/>
      </c>
      <c r="L140" s="19" t="str">
        <f aca="false">IFERROR(J140/F140,"")</f>
        <v/>
      </c>
      <c r="M140" s="5"/>
      <c r="N140" s="5"/>
      <c r="O140" s="24"/>
    </row>
    <row r="141" customFormat="false" ht="21.75" hidden="false" customHeight="true" outlineLevel="0" collapsed="false">
      <c r="A141" s="17"/>
      <c r="B141" s="11"/>
      <c r="C141" s="12"/>
      <c r="D141" s="18"/>
      <c r="E141" s="18"/>
      <c r="F141" s="18"/>
      <c r="G141" s="19" t="str">
        <f aca="false">IFERROR(F141/D141,"")</f>
        <v/>
      </c>
      <c r="H141" s="20" t="str">
        <f aca="false">IFERROR(C141/F141,"")</f>
        <v/>
      </c>
      <c r="I141" s="20" t="str">
        <f aca="false">IFERROR(C141/D141*1000,"")</f>
        <v/>
      </c>
      <c r="J141" s="11"/>
      <c r="K141" s="20" t="str">
        <f aca="false">IFERROR(C141/J141,"")</f>
        <v/>
      </c>
      <c r="L141" s="19" t="str">
        <f aca="false">IFERROR(J141/F141,"")</f>
        <v/>
      </c>
      <c r="M141" s="11"/>
      <c r="N141" s="11"/>
      <c r="O141" s="21"/>
    </row>
    <row r="142" customFormat="false" ht="21.75" hidden="false" customHeight="true" outlineLevel="0" collapsed="false">
      <c r="A142" s="22"/>
      <c r="B142" s="5"/>
      <c r="C142" s="7"/>
      <c r="D142" s="23"/>
      <c r="E142" s="23"/>
      <c r="F142" s="23"/>
      <c r="G142" s="19" t="str">
        <f aca="false">IFERROR(F142/D142,"")</f>
        <v/>
      </c>
      <c r="H142" s="20" t="str">
        <f aca="false">IFERROR(C142/F142,"")</f>
        <v/>
      </c>
      <c r="I142" s="20" t="str">
        <f aca="false">IFERROR(C142/D142*1000,"")</f>
        <v/>
      </c>
      <c r="J142" s="5"/>
      <c r="K142" s="20" t="str">
        <f aca="false">IFERROR(C142/J142,"")</f>
        <v/>
      </c>
      <c r="L142" s="19" t="str">
        <f aca="false">IFERROR(J142/F142,"")</f>
        <v/>
      </c>
      <c r="M142" s="5"/>
      <c r="N142" s="5"/>
      <c r="O142" s="24"/>
    </row>
    <row r="143" customFormat="false" ht="21.75" hidden="false" customHeight="true" outlineLevel="0" collapsed="false">
      <c r="A143" s="17"/>
      <c r="B143" s="11"/>
      <c r="C143" s="12"/>
      <c r="D143" s="18"/>
      <c r="E143" s="18"/>
      <c r="F143" s="18"/>
      <c r="G143" s="19" t="str">
        <f aca="false">IFERROR(F143/D143,"")</f>
        <v/>
      </c>
      <c r="H143" s="20" t="str">
        <f aca="false">IFERROR(C143/F143,"")</f>
        <v/>
      </c>
      <c r="I143" s="20" t="str">
        <f aca="false">IFERROR(C143/D143*1000,"")</f>
        <v/>
      </c>
      <c r="J143" s="11"/>
      <c r="K143" s="20" t="str">
        <f aca="false">IFERROR(C143/J143,"")</f>
        <v/>
      </c>
      <c r="L143" s="19" t="str">
        <f aca="false">IFERROR(J143/F143,"")</f>
        <v/>
      </c>
      <c r="M143" s="11"/>
      <c r="N143" s="11"/>
      <c r="O143" s="21"/>
    </row>
    <row r="144" customFormat="false" ht="21.75" hidden="false" customHeight="true" outlineLevel="0" collapsed="false">
      <c r="A144" s="22"/>
      <c r="B144" s="5"/>
      <c r="C144" s="7"/>
      <c r="D144" s="23"/>
      <c r="E144" s="23"/>
      <c r="F144" s="23"/>
      <c r="G144" s="19" t="str">
        <f aca="false">IFERROR(F144/D144,"")</f>
        <v/>
      </c>
      <c r="H144" s="20" t="str">
        <f aca="false">IFERROR(C144/F144,"")</f>
        <v/>
      </c>
      <c r="I144" s="20" t="str">
        <f aca="false">IFERROR(C144/D144*1000,"")</f>
        <v/>
      </c>
      <c r="J144" s="5"/>
      <c r="K144" s="20" t="str">
        <f aca="false">IFERROR(C144/J144,"")</f>
        <v/>
      </c>
      <c r="L144" s="19" t="str">
        <f aca="false">IFERROR(J144/F144,"")</f>
        <v/>
      </c>
      <c r="M144" s="5"/>
      <c r="N144" s="5"/>
      <c r="O144" s="24"/>
    </row>
    <row r="145" customFormat="false" ht="21.75" hidden="false" customHeight="true" outlineLevel="0" collapsed="false">
      <c r="A145" s="17"/>
      <c r="B145" s="11"/>
      <c r="C145" s="12"/>
      <c r="D145" s="18"/>
      <c r="E145" s="18"/>
      <c r="F145" s="18"/>
      <c r="G145" s="19" t="str">
        <f aca="false">IFERROR(F145/D145,"")</f>
        <v/>
      </c>
      <c r="H145" s="20" t="str">
        <f aca="false">IFERROR(C145/F145,"")</f>
        <v/>
      </c>
      <c r="I145" s="20" t="str">
        <f aca="false">IFERROR(C145/D145*1000,"")</f>
        <v/>
      </c>
      <c r="J145" s="11"/>
      <c r="K145" s="20" t="str">
        <f aca="false">IFERROR(C145/J145,"")</f>
        <v/>
      </c>
      <c r="L145" s="19" t="str">
        <f aca="false">IFERROR(J145/F145,"")</f>
        <v/>
      </c>
      <c r="M145" s="11"/>
      <c r="N145" s="11"/>
      <c r="O145" s="21"/>
    </row>
    <row r="146" customFormat="false" ht="21.75" hidden="false" customHeight="true" outlineLevel="0" collapsed="false">
      <c r="A146" s="22"/>
      <c r="B146" s="5"/>
      <c r="C146" s="7"/>
      <c r="D146" s="23"/>
      <c r="E146" s="23"/>
      <c r="F146" s="23"/>
      <c r="G146" s="19" t="str">
        <f aca="false">IFERROR(F146/D146,"")</f>
        <v/>
      </c>
      <c r="H146" s="20" t="str">
        <f aca="false">IFERROR(C146/F146,"")</f>
        <v/>
      </c>
      <c r="I146" s="20" t="str">
        <f aca="false">IFERROR(C146/D146*1000,"")</f>
        <v/>
      </c>
      <c r="J146" s="5"/>
      <c r="K146" s="20" t="str">
        <f aca="false">IFERROR(C146/J146,"")</f>
        <v/>
      </c>
      <c r="L146" s="19" t="str">
        <f aca="false">IFERROR(J146/F146,"")</f>
        <v/>
      </c>
      <c r="M146" s="5"/>
      <c r="N146" s="5"/>
      <c r="O146" s="24"/>
    </row>
    <row r="147" customFormat="false" ht="21.75" hidden="false" customHeight="true" outlineLevel="0" collapsed="false">
      <c r="A147" s="17"/>
      <c r="B147" s="11"/>
      <c r="C147" s="12"/>
      <c r="D147" s="18"/>
      <c r="E147" s="18"/>
      <c r="F147" s="18"/>
      <c r="G147" s="19" t="str">
        <f aca="false">IFERROR(F147/D147,"")</f>
        <v/>
      </c>
      <c r="H147" s="20" t="str">
        <f aca="false">IFERROR(C147/F147,"")</f>
        <v/>
      </c>
      <c r="I147" s="20" t="str">
        <f aca="false">IFERROR(C147/D147*1000,"")</f>
        <v/>
      </c>
      <c r="J147" s="11"/>
      <c r="K147" s="20" t="str">
        <f aca="false">IFERROR(C147/J147,"")</f>
        <v/>
      </c>
      <c r="L147" s="19" t="str">
        <f aca="false">IFERROR(J147/F147,"")</f>
        <v/>
      </c>
      <c r="M147" s="11"/>
      <c r="N147" s="11"/>
      <c r="O147" s="21"/>
    </row>
    <row r="148" customFormat="false" ht="21.75" hidden="false" customHeight="true" outlineLevel="0" collapsed="false">
      <c r="A148" s="22"/>
      <c r="B148" s="5"/>
      <c r="C148" s="7"/>
      <c r="D148" s="23"/>
      <c r="E148" s="23"/>
      <c r="F148" s="23"/>
      <c r="G148" s="19" t="str">
        <f aca="false">IFERROR(F148/D148,"")</f>
        <v/>
      </c>
      <c r="H148" s="20" t="str">
        <f aca="false">IFERROR(C148/F148,"")</f>
        <v/>
      </c>
      <c r="I148" s="20" t="str">
        <f aca="false">IFERROR(C148/D148*1000,"")</f>
        <v/>
      </c>
      <c r="J148" s="5"/>
      <c r="K148" s="20" t="str">
        <f aca="false">IFERROR(C148/J148,"")</f>
        <v/>
      </c>
      <c r="L148" s="19" t="str">
        <f aca="false">IFERROR(J148/F148,"")</f>
        <v/>
      </c>
      <c r="M148" s="5"/>
      <c r="N148" s="5"/>
      <c r="O148" s="24"/>
    </row>
    <row r="149" customFormat="false" ht="21.75" hidden="false" customHeight="true" outlineLevel="0" collapsed="false">
      <c r="A149" s="17"/>
      <c r="B149" s="11"/>
      <c r="C149" s="12"/>
      <c r="D149" s="18"/>
      <c r="E149" s="18"/>
      <c r="F149" s="18"/>
      <c r="G149" s="19" t="str">
        <f aca="false">IFERROR(F149/D149,"")</f>
        <v/>
      </c>
      <c r="H149" s="20" t="str">
        <f aca="false">IFERROR(C149/F149,"")</f>
        <v/>
      </c>
      <c r="I149" s="20" t="str">
        <f aca="false">IFERROR(C149/D149*1000,"")</f>
        <v/>
      </c>
      <c r="J149" s="11"/>
      <c r="K149" s="20" t="str">
        <f aca="false">IFERROR(C149/J149,"")</f>
        <v/>
      </c>
      <c r="L149" s="19" t="str">
        <f aca="false">IFERROR(J149/F149,"")</f>
        <v/>
      </c>
      <c r="M149" s="11"/>
      <c r="N149" s="11"/>
      <c r="O149" s="21"/>
    </row>
    <row r="150" customFormat="false" ht="21.75" hidden="false" customHeight="true" outlineLevel="0" collapsed="false">
      <c r="A150" s="22"/>
      <c r="B150" s="5"/>
      <c r="C150" s="7"/>
      <c r="D150" s="23"/>
      <c r="E150" s="23"/>
      <c r="F150" s="23"/>
      <c r="G150" s="19" t="str">
        <f aca="false">IFERROR(F150/D150,"")</f>
        <v/>
      </c>
      <c r="H150" s="20" t="str">
        <f aca="false">IFERROR(C150/F150,"")</f>
        <v/>
      </c>
      <c r="I150" s="20" t="str">
        <f aca="false">IFERROR(C150/D150*1000,"")</f>
        <v/>
      </c>
      <c r="J150" s="5"/>
      <c r="K150" s="20" t="str">
        <f aca="false">IFERROR(C150/J150,"")</f>
        <v/>
      </c>
      <c r="L150" s="19" t="str">
        <f aca="false">IFERROR(J150/F150,"")</f>
        <v/>
      </c>
      <c r="M150" s="5"/>
      <c r="N150" s="5"/>
      <c r="O150" s="24"/>
    </row>
    <row r="151" customFormat="false" ht="21.75" hidden="false" customHeight="true" outlineLevel="0" collapsed="false">
      <c r="A151" s="17"/>
      <c r="B151" s="11"/>
      <c r="C151" s="12"/>
      <c r="D151" s="18"/>
      <c r="E151" s="18"/>
      <c r="F151" s="18"/>
      <c r="G151" s="19" t="str">
        <f aca="false">IFERROR(F151/D151,"")</f>
        <v/>
      </c>
      <c r="H151" s="20" t="str">
        <f aca="false">IFERROR(C151/F151,"")</f>
        <v/>
      </c>
      <c r="I151" s="20" t="str">
        <f aca="false">IFERROR(C151/D151*1000,"")</f>
        <v/>
      </c>
      <c r="J151" s="11"/>
      <c r="K151" s="20" t="str">
        <f aca="false">IFERROR(C151/J151,"")</f>
        <v/>
      </c>
      <c r="L151" s="19" t="str">
        <f aca="false">IFERROR(J151/F151,"")</f>
        <v/>
      </c>
      <c r="M151" s="11"/>
      <c r="N151" s="11"/>
      <c r="O151" s="21"/>
    </row>
    <row r="152" customFormat="false" ht="21.75" hidden="false" customHeight="true" outlineLevel="0" collapsed="false">
      <c r="A152" s="22"/>
      <c r="B152" s="5"/>
      <c r="C152" s="7"/>
      <c r="D152" s="23"/>
      <c r="E152" s="23"/>
      <c r="F152" s="23"/>
      <c r="G152" s="19" t="str">
        <f aca="false">IFERROR(F152/D152,"")</f>
        <v/>
      </c>
      <c r="H152" s="20" t="str">
        <f aca="false">IFERROR(C152/F152,"")</f>
        <v/>
      </c>
      <c r="I152" s="20" t="str">
        <f aca="false">IFERROR(C152/D152*1000,"")</f>
        <v/>
      </c>
      <c r="J152" s="5"/>
      <c r="K152" s="20" t="str">
        <f aca="false">IFERROR(C152/J152,"")</f>
        <v/>
      </c>
      <c r="L152" s="19" t="str">
        <f aca="false">IFERROR(J152/F152,"")</f>
        <v/>
      </c>
      <c r="M152" s="5"/>
      <c r="N152" s="5"/>
      <c r="O152" s="24"/>
    </row>
    <row r="153" customFormat="false" ht="21.75" hidden="false" customHeight="true" outlineLevel="0" collapsed="false">
      <c r="A153" s="17"/>
      <c r="B153" s="11"/>
      <c r="C153" s="12"/>
      <c r="D153" s="18"/>
      <c r="E153" s="18"/>
      <c r="F153" s="18"/>
      <c r="G153" s="19" t="str">
        <f aca="false">IFERROR(F153/D153,"")</f>
        <v/>
      </c>
      <c r="H153" s="20" t="str">
        <f aca="false">IFERROR(C153/F153,"")</f>
        <v/>
      </c>
      <c r="I153" s="20" t="str">
        <f aca="false">IFERROR(C153/D153*1000,"")</f>
        <v/>
      </c>
      <c r="J153" s="11"/>
      <c r="K153" s="20" t="str">
        <f aca="false">IFERROR(C153/J153,"")</f>
        <v/>
      </c>
      <c r="L153" s="19" t="str">
        <f aca="false">IFERROR(J153/F153,"")</f>
        <v/>
      </c>
      <c r="M153" s="11"/>
      <c r="N153" s="11"/>
      <c r="O153" s="21"/>
    </row>
    <row r="154" customFormat="false" ht="21.75" hidden="false" customHeight="true" outlineLevel="0" collapsed="false">
      <c r="A154" s="22"/>
      <c r="B154" s="5"/>
      <c r="C154" s="7"/>
      <c r="D154" s="23"/>
      <c r="E154" s="23"/>
      <c r="F154" s="23"/>
      <c r="G154" s="19" t="str">
        <f aca="false">IFERROR(F154/D154,"")</f>
        <v/>
      </c>
      <c r="H154" s="20" t="str">
        <f aca="false">IFERROR(C154/F154,"")</f>
        <v/>
      </c>
      <c r="I154" s="20" t="str">
        <f aca="false">IFERROR(C154/D154*1000,"")</f>
        <v/>
      </c>
      <c r="J154" s="5"/>
      <c r="K154" s="20" t="str">
        <f aca="false">IFERROR(C154/J154,"")</f>
        <v/>
      </c>
      <c r="L154" s="19" t="str">
        <f aca="false">IFERROR(J154/F154,"")</f>
        <v/>
      </c>
      <c r="M154" s="5"/>
      <c r="N154" s="5"/>
      <c r="O154" s="24"/>
    </row>
    <row r="155" customFormat="false" ht="21.75" hidden="false" customHeight="true" outlineLevel="0" collapsed="false">
      <c r="A155" s="17"/>
      <c r="B155" s="11"/>
      <c r="C155" s="12"/>
      <c r="D155" s="18"/>
      <c r="E155" s="18"/>
      <c r="F155" s="18"/>
      <c r="G155" s="19" t="str">
        <f aca="false">IFERROR(F155/D155,"")</f>
        <v/>
      </c>
      <c r="H155" s="20" t="str">
        <f aca="false">IFERROR(C155/F155,"")</f>
        <v/>
      </c>
      <c r="I155" s="20" t="str">
        <f aca="false">IFERROR(C155/D155*1000,"")</f>
        <v/>
      </c>
      <c r="J155" s="11"/>
      <c r="K155" s="20" t="str">
        <f aca="false">IFERROR(C155/J155,"")</f>
        <v/>
      </c>
      <c r="L155" s="19" t="str">
        <f aca="false">IFERROR(J155/F155,"")</f>
        <v/>
      </c>
      <c r="M155" s="11"/>
      <c r="N155" s="11"/>
      <c r="O155" s="21"/>
    </row>
    <row r="156" customFormat="false" ht="21.75" hidden="false" customHeight="true" outlineLevel="0" collapsed="false">
      <c r="A156" s="22"/>
      <c r="B156" s="5"/>
      <c r="C156" s="7"/>
      <c r="D156" s="23"/>
      <c r="E156" s="23"/>
      <c r="F156" s="23"/>
      <c r="G156" s="19" t="str">
        <f aca="false">IFERROR(F156/D156,"")</f>
        <v/>
      </c>
      <c r="H156" s="20" t="str">
        <f aca="false">IFERROR(C156/F156,"")</f>
        <v/>
      </c>
      <c r="I156" s="20" t="str">
        <f aca="false">IFERROR(C156/D156*1000,"")</f>
        <v/>
      </c>
      <c r="J156" s="5"/>
      <c r="K156" s="20" t="str">
        <f aca="false">IFERROR(C156/J156,"")</f>
        <v/>
      </c>
      <c r="L156" s="19" t="str">
        <f aca="false">IFERROR(J156/F156,"")</f>
        <v/>
      </c>
      <c r="M156" s="5"/>
      <c r="N156" s="5"/>
      <c r="O156" s="24"/>
    </row>
    <row r="157" customFormat="false" ht="21.75" hidden="false" customHeight="true" outlineLevel="0" collapsed="false">
      <c r="A157" s="17"/>
      <c r="B157" s="11"/>
      <c r="C157" s="12"/>
      <c r="D157" s="18"/>
      <c r="E157" s="18"/>
      <c r="F157" s="18"/>
      <c r="G157" s="19" t="str">
        <f aca="false">IFERROR(F157/D157,"")</f>
        <v/>
      </c>
      <c r="H157" s="20" t="str">
        <f aca="false">IFERROR(C157/F157,"")</f>
        <v/>
      </c>
      <c r="I157" s="20" t="str">
        <f aca="false">IFERROR(C157/D157*1000,"")</f>
        <v/>
      </c>
      <c r="J157" s="11"/>
      <c r="K157" s="20" t="str">
        <f aca="false">IFERROR(C157/J157,"")</f>
        <v/>
      </c>
      <c r="L157" s="19" t="str">
        <f aca="false">IFERROR(J157/F157,"")</f>
        <v/>
      </c>
      <c r="M157" s="11"/>
      <c r="N157" s="11"/>
      <c r="O157" s="21"/>
    </row>
    <row r="158" customFormat="false" ht="21.75" hidden="false" customHeight="true" outlineLevel="0" collapsed="false">
      <c r="A158" s="22"/>
      <c r="B158" s="5"/>
      <c r="C158" s="7"/>
      <c r="D158" s="23"/>
      <c r="E158" s="23"/>
      <c r="F158" s="23"/>
      <c r="G158" s="19" t="str">
        <f aca="false">IFERROR(F158/D158,"")</f>
        <v/>
      </c>
      <c r="H158" s="20" t="str">
        <f aca="false">IFERROR(C158/F158,"")</f>
        <v/>
      </c>
      <c r="I158" s="20" t="str">
        <f aca="false">IFERROR(C158/D158*1000,"")</f>
        <v/>
      </c>
      <c r="J158" s="5"/>
      <c r="K158" s="20" t="str">
        <f aca="false">IFERROR(C158/J158,"")</f>
        <v/>
      </c>
      <c r="L158" s="19" t="str">
        <f aca="false">IFERROR(J158/F158,"")</f>
        <v/>
      </c>
      <c r="M158" s="5"/>
      <c r="N158" s="5"/>
      <c r="O158" s="24"/>
    </row>
    <row r="159" customFormat="false" ht="21.75" hidden="false" customHeight="true" outlineLevel="0" collapsed="false">
      <c r="A159" s="17"/>
      <c r="B159" s="11"/>
      <c r="C159" s="12"/>
      <c r="D159" s="18"/>
      <c r="E159" s="18"/>
      <c r="F159" s="18"/>
      <c r="G159" s="19" t="str">
        <f aca="false">IFERROR(F159/D159,"")</f>
        <v/>
      </c>
      <c r="H159" s="20" t="str">
        <f aca="false">IFERROR(C159/F159,"")</f>
        <v/>
      </c>
      <c r="I159" s="20" t="str">
        <f aca="false">IFERROR(C159/D159*1000,"")</f>
        <v/>
      </c>
      <c r="J159" s="11"/>
      <c r="K159" s="20" t="str">
        <f aca="false">IFERROR(C159/J159,"")</f>
        <v/>
      </c>
      <c r="L159" s="19" t="str">
        <f aca="false">IFERROR(J159/F159,"")</f>
        <v/>
      </c>
      <c r="M159" s="11"/>
      <c r="N159" s="11"/>
      <c r="O159" s="21"/>
    </row>
    <row r="160" customFormat="false" ht="21.75" hidden="false" customHeight="true" outlineLevel="0" collapsed="false">
      <c r="A160" s="22"/>
      <c r="B160" s="5"/>
      <c r="C160" s="7"/>
      <c r="D160" s="23"/>
      <c r="E160" s="23"/>
      <c r="F160" s="23"/>
      <c r="G160" s="19" t="str">
        <f aca="false">IFERROR(F160/D160,"")</f>
        <v/>
      </c>
      <c r="H160" s="20" t="str">
        <f aca="false">IFERROR(C160/F160,"")</f>
        <v/>
      </c>
      <c r="I160" s="20" t="str">
        <f aca="false">IFERROR(C160/D160*1000,"")</f>
        <v/>
      </c>
      <c r="J160" s="5"/>
      <c r="K160" s="20" t="str">
        <f aca="false">IFERROR(C160/J160,"")</f>
        <v/>
      </c>
      <c r="L160" s="19" t="str">
        <f aca="false">IFERROR(J160/F160,"")</f>
        <v/>
      </c>
      <c r="M160" s="5"/>
      <c r="N160" s="5"/>
      <c r="O160" s="24"/>
    </row>
    <row r="161" customFormat="false" ht="21.75" hidden="false" customHeight="true" outlineLevel="0" collapsed="false">
      <c r="A161" s="17"/>
      <c r="B161" s="11"/>
      <c r="C161" s="12"/>
      <c r="D161" s="18"/>
      <c r="E161" s="18"/>
      <c r="F161" s="18"/>
      <c r="G161" s="19" t="str">
        <f aca="false">IFERROR(F161/D161,"")</f>
        <v/>
      </c>
      <c r="H161" s="20" t="str">
        <f aca="false">IFERROR(C161/F161,"")</f>
        <v/>
      </c>
      <c r="I161" s="20" t="str">
        <f aca="false">IFERROR(C161/D161*1000,"")</f>
        <v/>
      </c>
      <c r="J161" s="11"/>
      <c r="K161" s="20" t="str">
        <f aca="false">IFERROR(C161/J161,"")</f>
        <v/>
      </c>
      <c r="L161" s="19" t="str">
        <f aca="false">IFERROR(J161/F161,"")</f>
        <v/>
      </c>
      <c r="M161" s="11"/>
      <c r="N161" s="11"/>
      <c r="O161" s="21"/>
    </row>
    <row r="162" customFormat="false" ht="21.75" hidden="false" customHeight="true" outlineLevel="0" collapsed="false">
      <c r="A162" s="22"/>
      <c r="B162" s="5"/>
      <c r="C162" s="7"/>
      <c r="D162" s="23"/>
      <c r="E162" s="23"/>
      <c r="F162" s="23"/>
      <c r="G162" s="19" t="str">
        <f aca="false">IFERROR(F162/D162,"")</f>
        <v/>
      </c>
      <c r="H162" s="20" t="str">
        <f aca="false">IFERROR(C162/F162,"")</f>
        <v/>
      </c>
      <c r="I162" s="20" t="str">
        <f aca="false">IFERROR(C162/D162*1000,"")</f>
        <v/>
      </c>
      <c r="J162" s="5"/>
      <c r="K162" s="20" t="str">
        <f aca="false">IFERROR(C162/J162,"")</f>
        <v/>
      </c>
      <c r="L162" s="19" t="str">
        <f aca="false">IFERROR(J162/F162,"")</f>
        <v/>
      </c>
      <c r="M162" s="5"/>
      <c r="N162" s="5"/>
      <c r="O162" s="24"/>
    </row>
    <row r="163" customFormat="false" ht="21.75" hidden="false" customHeight="true" outlineLevel="0" collapsed="false">
      <c r="A163" s="17"/>
      <c r="B163" s="11"/>
      <c r="C163" s="12"/>
      <c r="D163" s="18"/>
      <c r="E163" s="18"/>
      <c r="F163" s="18"/>
      <c r="G163" s="19" t="str">
        <f aca="false">IFERROR(F163/D163,"")</f>
        <v/>
      </c>
      <c r="H163" s="20" t="str">
        <f aca="false">IFERROR(C163/F163,"")</f>
        <v/>
      </c>
      <c r="I163" s="20" t="str">
        <f aca="false">IFERROR(C163/D163*1000,"")</f>
        <v/>
      </c>
      <c r="J163" s="11"/>
      <c r="K163" s="20" t="str">
        <f aca="false">IFERROR(C163/J163,"")</f>
        <v/>
      </c>
      <c r="L163" s="19" t="str">
        <f aca="false">IFERROR(J163/F163,"")</f>
        <v/>
      </c>
      <c r="M163" s="11"/>
      <c r="N163" s="11"/>
      <c r="O163" s="21"/>
    </row>
    <row r="164" customFormat="false" ht="21.75" hidden="false" customHeight="true" outlineLevel="0" collapsed="false">
      <c r="A164" s="22"/>
      <c r="B164" s="5"/>
      <c r="C164" s="7"/>
      <c r="D164" s="23"/>
      <c r="E164" s="23"/>
      <c r="F164" s="23"/>
      <c r="G164" s="19" t="str">
        <f aca="false">IFERROR(F164/D164,"")</f>
        <v/>
      </c>
      <c r="H164" s="20" t="str">
        <f aca="false">IFERROR(C164/F164,"")</f>
        <v/>
      </c>
      <c r="I164" s="20" t="str">
        <f aca="false">IFERROR(C164/D164*1000,"")</f>
        <v/>
      </c>
      <c r="J164" s="5"/>
      <c r="K164" s="20" t="str">
        <f aca="false">IFERROR(C164/J164,"")</f>
        <v/>
      </c>
      <c r="L164" s="19" t="str">
        <f aca="false">IFERROR(J164/F164,"")</f>
        <v/>
      </c>
      <c r="M164" s="5"/>
      <c r="N164" s="5"/>
      <c r="O164" s="24"/>
    </row>
    <row r="165" customFormat="false" ht="21.75" hidden="false" customHeight="true" outlineLevel="0" collapsed="false">
      <c r="A165" s="17"/>
      <c r="B165" s="11"/>
      <c r="C165" s="12"/>
      <c r="D165" s="18"/>
      <c r="E165" s="18"/>
      <c r="F165" s="18"/>
      <c r="G165" s="19" t="str">
        <f aca="false">IFERROR(F165/D165,"")</f>
        <v/>
      </c>
      <c r="H165" s="20" t="str">
        <f aca="false">IFERROR(C165/F165,"")</f>
        <v/>
      </c>
      <c r="I165" s="20" t="str">
        <f aca="false">IFERROR(C165/D165*1000,"")</f>
        <v/>
      </c>
      <c r="J165" s="11"/>
      <c r="K165" s="20" t="str">
        <f aca="false">IFERROR(C165/J165,"")</f>
        <v/>
      </c>
      <c r="L165" s="19" t="str">
        <f aca="false">IFERROR(J165/F165,"")</f>
        <v/>
      </c>
      <c r="M165" s="11"/>
      <c r="N165" s="11"/>
      <c r="O165" s="21"/>
    </row>
    <row r="166" customFormat="false" ht="21.75" hidden="false" customHeight="true" outlineLevel="0" collapsed="false">
      <c r="A166" s="22"/>
      <c r="B166" s="5"/>
      <c r="C166" s="7"/>
      <c r="D166" s="23"/>
      <c r="E166" s="23"/>
      <c r="F166" s="23"/>
      <c r="G166" s="19" t="str">
        <f aca="false">IFERROR(F166/D166,"")</f>
        <v/>
      </c>
      <c r="H166" s="20" t="str">
        <f aca="false">IFERROR(C166/F166,"")</f>
        <v/>
      </c>
      <c r="I166" s="20" t="str">
        <f aca="false">IFERROR(C166/D166*1000,"")</f>
        <v/>
      </c>
      <c r="J166" s="5"/>
      <c r="K166" s="20" t="str">
        <f aca="false">IFERROR(C166/J166,"")</f>
        <v/>
      </c>
      <c r="L166" s="19" t="str">
        <f aca="false">IFERROR(J166/F166,"")</f>
        <v/>
      </c>
      <c r="M166" s="5"/>
      <c r="N166" s="5"/>
      <c r="O166" s="24"/>
    </row>
    <row r="167" customFormat="false" ht="21.75" hidden="false" customHeight="true" outlineLevel="0" collapsed="false">
      <c r="A167" s="17"/>
      <c r="B167" s="11"/>
      <c r="C167" s="12"/>
      <c r="D167" s="18"/>
      <c r="E167" s="18"/>
      <c r="F167" s="18"/>
      <c r="G167" s="19" t="str">
        <f aca="false">IFERROR(F167/D167,"")</f>
        <v/>
      </c>
      <c r="H167" s="20" t="str">
        <f aca="false">IFERROR(C167/F167,"")</f>
        <v/>
      </c>
      <c r="I167" s="20" t="str">
        <f aca="false">IFERROR(C167/D167*1000,"")</f>
        <v/>
      </c>
      <c r="J167" s="11"/>
      <c r="K167" s="20" t="str">
        <f aca="false">IFERROR(C167/J167,"")</f>
        <v/>
      </c>
      <c r="L167" s="19" t="str">
        <f aca="false">IFERROR(J167/F167,"")</f>
        <v/>
      </c>
      <c r="M167" s="11"/>
      <c r="N167" s="11"/>
      <c r="O167" s="21"/>
    </row>
    <row r="168" customFormat="false" ht="21.75" hidden="false" customHeight="true" outlineLevel="0" collapsed="false">
      <c r="A168" s="22"/>
      <c r="B168" s="5"/>
      <c r="C168" s="7"/>
      <c r="D168" s="23"/>
      <c r="E168" s="23"/>
      <c r="F168" s="23"/>
      <c r="G168" s="19" t="str">
        <f aca="false">IFERROR(F168/D168,"")</f>
        <v/>
      </c>
      <c r="H168" s="20" t="str">
        <f aca="false">IFERROR(C168/F168,"")</f>
        <v/>
      </c>
      <c r="I168" s="20" t="str">
        <f aca="false">IFERROR(C168/D168*1000,"")</f>
        <v/>
      </c>
      <c r="J168" s="5"/>
      <c r="K168" s="20" t="str">
        <f aca="false">IFERROR(C168/J168,"")</f>
        <v/>
      </c>
      <c r="L168" s="19" t="str">
        <f aca="false">IFERROR(J168/F168,"")</f>
        <v/>
      </c>
      <c r="M168" s="5"/>
      <c r="N168" s="5"/>
      <c r="O168" s="24"/>
    </row>
    <row r="169" customFormat="false" ht="21.75" hidden="false" customHeight="true" outlineLevel="0" collapsed="false">
      <c r="A169" s="17"/>
      <c r="B169" s="11"/>
      <c r="C169" s="12"/>
      <c r="D169" s="18"/>
      <c r="E169" s="18"/>
      <c r="F169" s="18"/>
      <c r="G169" s="19" t="str">
        <f aca="false">IFERROR(F169/D169,"")</f>
        <v/>
      </c>
      <c r="H169" s="20" t="str">
        <f aca="false">IFERROR(C169/F169,"")</f>
        <v/>
      </c>
      <c r="I169" s="20" t="str">
        <f aca="false">IFERROR(C169/D169*1000,"")</f>
        <v/>
      </c>
      <c r="J169" s="11"/>
      <c r="K169" s="20" t="str">
        <f aca="false">IFERROR(C169/J169,"")</f>
        <v/>
      </c>
      <c r="L169" s="19" t="str">
        <f aca="false">IFERROR(J169/F169,"")</f>
        <v/>
      </c>
      <c r="M169" s="11"/>
      <c r="N169" s="11"/>
      <c r="O169" s="21"/>
    </row>
    <row r="170" customFormat="false" ht="21.75" hidden="false" customHeight="true" outlineLevel="0" collapsed="false">
      <c r="A170" s="22"/>
      <c r="B170" s="5"/>
      <c r="C170" s="7"/>
      <c r="D170" s="23"/>
      <c r="E170" s="23"/>
      <c r="F170" s="23"/>
      <c r="G170" s="19" t="str">
        <f aca="false">IFERROR(F170/D170,"")</f>
        <v/>
      </c>
      <c r="H170" s="20" t="str">
        <f aca="false">IFERROR(C170/F170,"")</f>
        <v/>
      </c>
      <c r="I170" s="20" t="str">
        <f aca="false">IFERROR(C170/D170*1000,"")</f>
        <v/>
      </c>
      <c r="J170" s="5"/>
      <c r="K170" s="20" t="str">
        <f aca="false">IFERROR(C170/J170,"")</f>
        <v/>
      </c>
      <c r="L170" s="19" t="str">
        <f aca="false">IFERROR(J170/F170,"")</f>
        <v/>
      </c>
      <c r="M170" s="5"/>
      <c r="N170" s="5"/>
      <c r="O170" s="24"/>
    </row>
    <row r="171" customFormat="false" ht="21.75" hidden="false" customHeight="true" outlineLevel="0" collapsed="false">
      <c r="A171" s="17"/>
      <c r="B171" s="11"/>
      <c r="C171" s="12"/>
      <c r="D171" s="18"/>
      <c r="E171" s="18"/>
      <c r="F171" s="18"/>
      <c r="G171" s="19" t="str">
        <f aca="false">IFERROR(F171/D171,"")</f>
        <v/>
      </c>
      <c r="H171" s="20" t="str">
        <f aca="false">IFERROR(C171/F171,"")</f>
        <v/>
      </c>
      <c r="I171" s="20" t="str">
        <f aca="false">IFERROR(C171/D171*1000,"")</f>
        <v/>
      </c>
      <c r="J171" s="11"/>
      <c r="K171" s="20" t="str">
        <f aca="false">IFERROR(C171/J171,"")</f>
        <v/>
      </c>
      <c r="L171" s="19" t="str">
        <f aca="false">IFERROR(J171/F171,"")</f>
        <v/>
      </c>
      <c r="M171" s="11"/>
      <c r="N171" s="11"/>
      <c r="O171" s="21"/>
    </row>
    <row r="172" customFormat="false" ht="21.75" hidden="false" customHeight="true" outlineLevel="0" collapsed="false">
      <c r="A172" s="22"/>
      <c r="B172" s="5"/>
      <c r="C172" s="7"/>
      <c r="D172" s="23"/>
      <c r="E172" s="23"/>
      <c r="F172" s="23"/>
      <c r="G172" s="19" t="str">
        <f aca="false">IFERROR(F172/D172,"")</f>
        <v/>
      </c>
      <c r="H172" s="20" t="str">
        <f aca="false">IFERROR(C172/F172,"")</f>
        <v/>
      </c>
      <c r="I172" s="20" t="str">
        <f aca="false">IFERROR(C172/D172*1000,"")</f>
        <v/>
      </c>
      <c r="J172" s="5"/>
      <c r="K172" s="20" t="str">
        <f aca="false">IFERROR(C172/J172,"")</f>
        <v/>
      </c>
      <c r="L172" s="19" t="str">
        <f aca="false">IFERROR(J172/F172,"")</f>
        <v/>
      </c>
      <c r="M172" s="5"/>
      <c r="N172" s="5"/>
      <c r="O172" s="24"/>
    </row>
    <row r="173" customFormat="false" ht="21.75" hidden="false" customHeight="true" outlineLevel="0" collapsed="false">
      <c r="A173" s="17"/>
      <c r="B173" s="11"/>
      <c r="C173" s="12"/>
      <c r="D173" s="18"/>
      <c r="E173" s="18"/>
      <c r="F173" s="18"/>
      <c r="G173" s="19" t="str">
        <f aca="false">IFERROR(F173/D173,"")</f>
        <v/>
      </c>
      <c r="H173" s="20" t="str">
        <f aca="false">IFERROR(C173/F173,"")</f>
        <v/>
      </c>
      <c r="I173" s="20" t="str">
        <f aca="false">IFERROR(C173/D173*1000,"")</f>
        <v/>
      </c>
      <c r="J173" s="11"/>
      <c r="K173" s="20" t="str">
        <f aca="false">IFERROR(C173/J173,"")</f>
        <v/>
      </c>
      <c r="L173" s="19" t="str">
        <f aca="false">IFERROR(J173/F173,"")</f>
        <v/>
      </c>
      <c r="M173" s="11"/>
      <c r="N173" s="11"/>
      <c r="O173" s="21"/>
    </row>
    <row r="174" customFormat="false" ht="21.75" hidden="false" customHeight="true" outlineLevel="0" collapsed="false">
      <c r="A174" s="22"/>
      <c r="B174" s="5"/>
      <c r="C174" s="7"/>
      <c r="D174" s="23"/>
      <c r="E174" s="23"/>
      <c r="F174" s="23"/>
      <c r="G174" s="19" t="str">
        <f aca="false">IFERROR(F174/D174,"")</f>
        <v/>
      </c>
      <c r="H174" s="20" t="str">
        <f aca="false">IFERROR(C174/F174,"")</f>
        <v/>
      </c>
      <c r="I174" s="20" t="str">
        <f aca="false">IFERROR(C174/D174*1000,"")</f>
        <v/>
      </c>
      <c r="J174" s="5"/>
      <c r="K174" s="20" t="str">
        <f aca="false">IFERROR(C174/J174,"")</f>
        <v/>
      </c>
      <c r="L174" s="19" t="str">
        <f aca="false">IFERROR(J174/F174,"")</f>
        <v/>
      </c>
      <c r="M174" s="5"/>
      <c r="N174" s="5"/>
      <c r="O174" s="24"/>
    </row>
    <row r="175" customFormat="false" ht="21.75" hidden="false" customHeight="true" outlineLevel="0" collapsed="false">
      <c r="A175" s="17"/>
      <c r="B175" s="11"/>
      <c r="C175" s="12"/>
      <c r="D175" s="18"/>
      <c r="E175" s="18"/>
      <c r="F175" s="18"/>
      <c r="G175" s="19" t="str">
        <f aca="false">IFERROR(F175/D175,"")</f>
        <v/>
      </c>
      <c r="H175" s="20" t="str">
        <f aca="false">IFERROR(C175/F175,"")</f>
        <v/>
      </c>
      <c r="I175" s="20" t="str">
        <f aca="false">IFERROR(C175/D175*1000,"")</f>
        <v/>
      </c>
      <c r="J175" s="11"/>
      <c r="K175" s="20" t="str">
        <f aca="false">IFERROR(C175/J175,"")</f>
        <v/>
      </c>
      <c r="L175" s="19" t="str">
        <f aca="false">IFERROR(J175/F175,"")</f>
        <v/>
      </c>
      <c r="M175" s="11"/>
      <c r="N175" s="11"/>
      <c r="O175" s="21"/>
    </row>
    <row r="176" customFormat="false" ht="21.75" hidden="false" customHeight="true" outlineLevel="0" collapsed="false">
      <c r="A176" s="22"/>
      <c r="B176" s="5"/>
      <c r="C176" s="7"/>
      <c r="D176" s="23"/>
      <c r="E176" s="23"/>
      <c r="F176" s="23"/>
      <c r="G176" s="19" t="str">
        <f aca="false">IFERROR(F176/D176,"")</f>
        <v/>
      </c>
      <c r="H176" s="20" t="str">
        <f aca="false">IFERROR(C176/F176,"")</f>
        <v/>
      </c>
      <c r="I176" s="20" t="str">
        <f aca="false">IFERROR(C176/D176*1000,"")</f>
        <v/>
      </c>
      <c r="J176" s="5"/>
      <c r="K176" s="20" t="str">
        <f aca="false">IFERROR(C176/J176,"")</f>
        <v/>
      </c>
      <c r="L176" s="19" t="str">
        <f aca="false">IFERROR(J176/F176,"")</f>
        <v/>
      </c>
      <c r="M176" s="5"/>
      <c r="N176" s="5"/>
      <c r="O176" s="24"/>
    </row>
    <row r="177" customFormat="false" ht="21.75" hidden="false" customHeight="true" outlineLevel="0" collapsed="false">
      <c r="A177" s="17"/>
      <c r="B177" s="11"/>
      <c r="C177" s="12"/>
      <c r="D177" s="18"/>
      <c r="E177" s="18"/>
      <c r="F177" s="18"/>
      <c r="G177" s="19" t="str">
        <f aca="false">IFERROR(F177/D177,"")</f>
        <v/>
      </c>
      <c r="H177" s="20" t="str">
        <f aca="false">IFERROR(C177/F177,"")</f>
        <v/>
      </c>
      <c r="I177" s="20" t="str">
        <f aca="false">IFERROR(C177/D177*1000,"")</f>
        <v/>
      </c>
      <c r="J177" s="11"/>
      <c r="K177" s="20" t="str">
        <f aca="false">IFERROR(C177/J177,"")</f>
        <v/>
      </c>
      <c r="L177" s="19" t="str">
        <f aca="false">IFERROR(J177/F177,"")</f>
        <v/>
      </c>
      <c r="M177" s="11"/>
      <c r="N177" s="11"/>
      <c r="O177" s="21"/>
    </row>
    <row r="178" customFormat="false" ht="21.75" hidden="false" customHeight="true" outlineLevel="0" collapsed="false">
      <c r="A178" s="22"/>
      <c r="B178" s="5"/>
      <c r="C178" s="7"/>
      <c r="D178" s="23"/>
      <c r="E178" s="23"/>
      <c r="F178" s="23"/>
      <c r="G178" s="19" t="str">
        <f aca="false">IFERROR(F178/D178,"")</f>
        <v/>
      </c>
      <c r="H178" s="20" t="str">
        <f aca="false">IFERROR(C178/F178,"")</f>
        <v/>
      </c>
      <c r="I178" s="20" t="str">
        <f aca="false">IFERROR(C178/D178*1000,"")</f>
        <v/>
      </c>
      <c r="J178" s="5"/>
      <c r="K178" s="20" t="str">
        <f aca="false">IFERROR(C178/J178,"")</f>
        <v/>
      </c>
      <c r="L178" s="19" t="str">
        <f aca="false">IFERROR(J178/F178,"")</f>
        <v/>
      </c>
      <c r="M178" s="5"/>
      <c r="N178" s="5"/>
      <c r="O178" s="24"/>
    </row>
    <row r="179" customFormat="false" ht="21.75" hidden="false" customHeight="true" outlineLevel="0" collapsed="false">
      <c r="A179" s="17"/>
      <c r="B179" s="11"/>
      <c r="C179" s="12"/>
      <c r="D179" s="18"/>
      <c r="E179" s="18"/>
      <c r="F179" s="18"/>
      <c r="G179" s="19" t="str">
        <f aca="false">IFERROR(F179/D179,"")</f>
        <v/>
      </c>
      <c r="H179" s="20" t="str">
        <f aca="false">IFERROR(C179/F179,"")</f>
        <v/>
      </c>
      <c r="I179" s="20" t="str">
        <f aca="false">IFERROR(C179/D179*1000,"")</f>
        <v/>
      </c>
      <c r="J179" s="11"/>
      <c r="K179" s="20" t="str">
        <f aca="false">IFERROR(C179/J179,"")</f>
        <v/>
      </c>
      <c r="L179" s="19" t="str">
        <f aca="false">IFERROR(J179/F179,"")</f>
        <v/>
      </c>
      <c r="M179" s="11"/>
      <c r="N179" s="11"/>
      <c r="O179" s="21"/>
    </row>
    <row r="180" customFormat="false" ht="21.75" hidden="false" customHeight="true" outlineLevel="0" collapsed="false">
      <c r="A180" s="22"/>
      <c r="B180" s="5"/>
      <c r="C180" s="7"/>
      <c r="D180" s="23"/>
      <c r="E180" s="23"/>
      <c r="F180" s="23"/>
      <c r="G180" s="19" t="str">
        <f aca="false">IFERROR(F180/D180,"")</f>
        <v/>
      </c>
      <c r="H180" s="20" t="str">
        <f aca="false">IFERROR(C180/F180,"")</f>
        <v/>
      </c>
      <c r="I180" s="20" t="str">
        <f aca="false">IFERROR(C180/D180*1000,"")</f>
        <v/>
      </c>
      <c r="J180" s="5"/>
      <c r="K180" s="20" t="str">
        <f aca="false">IFERROR(C180/J180,"")</f>
        <v/>
      </c>
      <c r="L180" s="19" t="str">
        <f aca="false">IFERROR(J180/F180,"")</f>
        <v/>
      </c>
      <c r="M180" s="5"/>
      <c r="N180" s="5"/>
      <c r="O180" s="24"/>
    </row>
    <row r="181" customFormat="false" ht="21.75" hidden="false" customHeight="true" outlineLevel="0" collapsed="false">
      <c r="A181" s="17"/>
      <c r="B181" s="11"/>
      <c r="C181" s="12"/>
      <c r="D181" s="18"/>
      <c r="E181" s="18"/>
      <c r="F181" s="18"/>
      <c r="G181" s="19" t="str">
        <f aca="false">IFERROR(F181/D181,"")</f>
        <v/>
      </c>
      <c r="H181" s="20" t="str">
        <f aca="false">IFERROR(C181/F181,"")</f>
        <v/>
      </c>
      <c r="I181" s="20" t="str">
        <f aca="false">IFERROR(C181/D181*1000,"")</f>
        <v/>
      </c>
      <c r="J181" s="11"/>
      <c r="K181" s="20" t="str">
        <f aca="false">IFERROR(C181/J181,"")</f>
        <v/>
      </c>
      <c r="L181" s="19" t="str">
        <f aca="false">IFERROR(J181/F181,"")</f>
        <v/>
      </c>
      <c r="M181" s="11"/>
      <c r="N181" s="11"/>
      <c r="O181" s="21"/>
    </row>
    <row r="182" customFormat="false" ht="21.75" hidden="false" customHeight="true" outlineLevel="0" collapsed="false">
      <c r="A182" s="22"/>
      <c r="B182" s="5"/>
      <c r="C182" s="7"/>
      <c r="D182" s="23"/>
      <c r="E182" s="23"/>
      <c r="F182" s="23"/>
      <c r="G182" s="19" t="str">
        <f aca="false">IFERROR(F182/D182,"")</f>
        <v/>
      </c>
      <c r="H182" s="20" t="str">
        <f aca="false">IFERROR(C182/F182,"")</f>
        <v/>
      </c>
      <c r="I182" s="20" t="str">
        <f aca="false">IFERROR(C182/D182*1000,"")</f>
        <v/>
      </c>
      <c r="J182" s="5"/>
      <c r="K182" s="20" t="str">
        <f aca="false">IFERROR(C182/J182,"")</f>
        <v/>
      </c>
      <c r="L182" s="19" t="str">
        <f aca="false">IFERROR(J182/F182,"")</f>
        <v/>
      </c>
      <c r="M182" s="5"/>
      <c r="N182" s="5"/>
      <c r="O182" s="24"/>
    </row>
    <row r="183" customFormat="false" ht="21.75" hidden="false" customHeight="true" outlineLevel="0" collapsed="false">
      <c r="A183" s="17"/>
      <c r="B183" s="11"/>
      <c r="C183" s="12"/>
      <c r="D183" s="18"/>
      <c r="E183" s="18"/>
      <c r="F183" s="18"/>
      <c r="G183" s="19" t="str">
        <f aca="false">IFERROR(F183/D183,"")</f>
        <v/>
      </c>
      <c r="H183" s="20" t="str">
        <f aca="false">IFERROR(C183/F183,"")</f>
        <v/>
      </c>
      <c r="I183" s="20" t="str">
        <f aca="false">IFERROR(C183/D183*1000,"")</f>
        <v/>
      </c>
      <c r="J183" s="11"/>
      <c r="K183" s="20" t="str">
        <f aca="false">IFERROR(C183/J183,"")</f>
        <v/>
      </c>
      <c r="L183" s="19" t="str">
        <f aca="false">IFERROR(J183/F183,"")</f>
        <v/>
      </c>
      <c r="M183" s="11"/>
      <c r="N183" s="11"/>
      <c r="O183" s="21"/>
    </row>
    <row r="184" customFormat="false" ht="21.75" hidden="false" customHeight="true" outlineLevel="0" collapsed="false">
      <c r="A184" s="22"/>
      <c r="B184" s="5"/>
      <c r="C184" s="7"/>
      <c r="D184" s="23"/>
      <c r="E184" s="23"/>
      <c r="F184" s="23"/>
      <c r="G184" s="19" t="str">
        <f aca="false">IFERROR(F184/D184,"")</f>
        <v/>
      </c>
      <c r="H184" s="20" t="str">
        <f aca="false">IFERROR(C184/F184,"")</f>
        <v/>
      </c>
      <c r="I184" s="20" t="str">
        <f aca="false">IFERROR(C184/D184*1000,"")</f>
        <v/>
      </c>
      <c r="J184" s="5"/>
      <c r="K184" s="20" t="str">
        <f aca="false">IFERROR(C184/J184,"")</f>
        <v/>
      </c>
      <c r="L184" s="19" t="str">
        <f aca="false">IFERROR(J184/F184,"")</f>
        <v/>
      </c>
      <c r="M184" s="5"/>
      <c r="N184" s="5"/>
      <c r="O184" s="24"/>
    </row>
    <row r="185" customFormat="false" ht="21.75" hidden="false" customHeight="true" outlineLevel="0" collapsed="false">
      <c r="A185" s="17"/>
      <c r="B185" s="11"/>
      <c r="C185" s="12"/>
      <c r="D185" s="18"/>
      <c r="E185" s="18"/>
      <c r="F185" s="18"/>
      <c r="G185" s="19" t="str">
        <f aca="false">IFERROR(F185/D185,"")</f>
        <v/>
      </c>
      <c r="H185" s="20" t="str">
        <f aca="false">IFERROR(C185/F185,"")</f>
        <v/>
      </c>
      <c r="I185" s="20" t="str">
        <f aca="false">IFERROR(C185/D185*1000,"")</f>
        <v/>
      </c>
      <c r="J185" s="11"/>
      <c r="K185" s="20" t="str">
        <f aca="false">IFERROR(C185/J185,"")</f>
        <v/>
      </c>
      <c r="L185" s="19" t="str">
        <f aca="false">IFERROR(J185/F185,"")</f>
        <v/>
      </c>
      <c r="M185" s="11"/>
      <c r="N185" s="11"/>
      <c r="O185" s="21"/>
    </row>
    <row r="186" customFormat="false" ht="21.75" hidden="false" customHeight="true" outlineLevel="0" collapsed="false">
      <c r="A186" s="22"/>
      <c r="B186" s="5"/>
      <c r="C186" s="7"/>
      <c r="D186" s="23"/>
      <c r="E186" s="23"/>
      <c r="F186" s="23"/>
      <c r="G186" s="19" t="str">
        <f aca="false">IFERROR(F186/D186,"")</f>
        <v/>
      </c>
      <c r="H186" s="20" t="str">
        <f aca="false">IFERROR(C186/F186,"")</f>
        <v/>
      </c>
      <c r="I186" s="20" t="str">
        <f aca="false">IFERROR(C186/D186*1000,"")</f>
        <v/>
      </c>
      <c r="J186" s="5"/>
      <c r="K186" s="20" t="str">
        <f aca="false">IFERROR(C186/J186,"")</f>
        <v/>
      </c>
      <c r="L186" s="19" t="str">
        <f aca="false">IFERROR(J186/F186,"")</f>
        <v/>
      </c>
      <c r="M186" s="5"/>
      <c r="N186" s="5"/>
      <c r="O186" s="24"/>
    </row>
    <row r="187" customFormat="false" ht="21.75" hidden="false" customHeight="true" outlineLevel="0" collapsed="false">
      <c r="A187" s="17"/>
      <c r="B187" s="11"/>
      <c r="C187" s="12"/>
      <c r="D187" s="18"/>
      <c r="E187" s="18"/>
      <c r="F187" s="18"/>
      <c r="G187" s="19" t="str">
        <f aca="false">IFERROR(F187/D187,"")</f>
        <v/>
      </c>
      <c r="H187" s="20" t="str">
        <f aca="false">IFERROR(C187/F187,"")</f>
        <v/>
      </c>
      <c r="I187" s="20" t="str">
        <f aca="false">IFERROR(C187/D187*1000,"")</f>
        <v/>
      </c>
      <c r="J187" s="11"/>
      <c r="K187" s="20" t="str">
        <f aca="false">IFERROR(C187/J187,"")</f>
        <v/>
      </c>
      <c r="L187" s="19" t="str">
        <f aca="false">IFERROR(J187/F187,"")</f>
        <v/>
      </c>
      <c r="M187" s="11"/>
      <c r="N187" s="11"/>
      <c r="O187" s="21"/>
    </row>
    <row r="188" customFormat="false" ht="21.75" hidden="false" customHeight="true" outlineLevel="0" collapsed="false">
      <c r="A188" s="22"/>
      <c r="B188" s="5"/>
      <c r="C188" s="7"/>
      <c r="D188" s="23"/>
      <c r="E188" s="23"/>
      <c r="F188" s="23"/>
      <c r="G188" s="19" t="str">
        <f aca="false">IFERROR(F188/D188,"")</f>
        <v/>
      </c>
      <c r="H188" s="20" t="str">
        <f aca="false">IFERROR(C188/F188,"")</f>
        <v/>
      </c>
      <c r="I188" s="20" t="str">
        <f aca="false">IFERROR(C188/D188*1000,"")</f>
        <v/>
      </c>
      <c r="J188" s="5"/>
      <c r="K188" s="20" t="str">
        <f aca="false">IFERROR(C188/J188,"")</f>
        <v/>
      </c>
      <c r="L188" s="19" t="str">
        <f aca="false">IFERROR(J188/F188,"")</f>
        <v/>
      </c>
      <c r="M188" s="5"/>
      <c r="N188" s="5"/>
      <c r="O188" s="24"/>
    </row>
    <row r="189" customFormat="false" ht="21.75" hidden="false" customHeight="true" outlineLevel="0" collapsed="false">
      <c r="A189" s="17"/>
      <c r="B189" s="11"/>
      <c r="C189" s="12"/>
      <c r="D189" s="18"/>
      <c r="E189" s="18"/>
      <c r="F189" s="18"/>
      <c r="G189" s="19" t="str">
        <f aca="false">IFERROR(F189/D189,"")</f>
        <v/>
      </c>
      <c r="H189" s="20" t="str">
        <f aca="false">IFERROR(C189/F189,"")</f>
        <v/>
      </c>
      <c r="I189" s="20" t="str">
        <f aca="false">IFERROR(C189/D189*1000,"")</f>
        <v/>
      </c>
      <c r="J189" s="11"/>
      <c r="K189" s="20" t="str">
        <f aca="false">IFERROR(C189/J189,"")</f>
        <v/>
      </c>
      <c r="L189" s="19" t="str">
        <f aca="false">IFERROR(J189/F189,"")</f>
        <v/>
      </c>
      <c r="M189" s="11"/>
      <c r="N189" s="11"/>
      <c r="O189" s="21"/>
    </row>
    <row r="190" customFormat="false" ht="21.75" hidden="false" customHeight="true" outlineLevel="0" collapsed="false">
      <c r="A190" s="22"/>
      <c r="B190" s="5"/>
      <c r="C190" s="7"/>
      <c r="D190" s="23"/>
      <c r="E190" s="23"/>
      <c r="F190" s="23"/>
      <c r="G190" s="19" t="str">
        <f aca="false">IFERROR(F190/D190,"")</f>
        <v/>
      </c>
      <c r="H190" s="20" t="str">
        <f aca="false">IFERROR(C190/F190,"")</f>
        <v/>
      </c>
      <c r="I190" s="20" t="str">
        <f aca="false">IFERROR(C190/D190*1000,"")</f>
        <v/>
      </c>
      <c r="J190" s="5"/>
      <c r="K190" s="20" t="str">
        <f aca="false">IFERROR(C190/J190,"")</f>
        <v/>
      </c>
      <c r="L190" s="19" t="str">
        <f aca="false">IFERROR(J190/F190,"")</f>
        <v/>
      </c>
      <c r="M190" s="5"/>
      <c r="N190" s="5"/>
      <c r="O190" s="24"/>
    </row>
    <row r="191" customFormat="false" ht="21.75" hidden="false" customHeight="true" outlineLevel="0" collapsed="false">
      <c r="A191" s="17"/>
      <c r="B191" s="11"/>
      <c r="C191" s="12"/>
      <c r="D191" s="18"/>
      <c r="E191" s="18"/>
      <c r="F191" s="18"/>
      <c r="G191" s="19" t="str">
        <f aca="false">IFERROR(F191/D191,"")</f>
        <v/>
      </c>
      <c r="H191" s="20" t="str">
        <f aca="false">IFERROR(C191/F191,"")</f>
        <v/>
      </c>
      <c r="I191" s="20" t="str">
        <f aca="false">IFERROR(C191/D191*1000,"")</f>
        <v/>
      </c>
      <c r="J191" s="11"/>
      <c r="K191" s="20" t="str">
        <f aca="false">IFERROR(C191/J191,"")</f>
        <v/>
      </c>
      <c r="L191" s="19" t="str">
        <f aca="false">IFERROR(J191/F191,"")</f>
        <v/>
      </c>
      <c r="M191" s="11"/>
      <c r="N191" s="11"/>
      <c r="O191" s="21"/>
    </row>
    <row r="192" customFormat="false" ht="21.75" hidden="false" customHeight="true" outlineLevel="0" collapsed="false">
      <c r="A192" s="22"/>
      <c r="B192" s="5"/>
      <c r="C192" s="7"/>
      <c r="D192" s="23"/>
      <c r="E192" s="23"/>
      <c r="F192" s="23"/>
      <c r="G192" s="19" t="str">
        <f aca="false">IFERROR(F192/D192,"")</f>
        <v/>
      </c>
      <c r="H192" s="20" t="str">
        <f aca="false">IFERROR(C192/F192,"")</f>
        <v/>
      </c>
      <c r="I192" s="20" t="str">
        <f aca="false">IFERROR(C192/D192*1000,"")</f>
        <v/>
      </c>
      <c r="J192" s="5"/>
      <c r="K192" s="20" t="str">
        <f aca="false">IFERROR(C192/J192,"")</f>
        <v/>
      </c>
      <c r="L192" s="19" t="str">
        <f aca="false">IFERROR(J192/F192,"")</f>
        <v/>
      </c>
      <c r="M192" s="5"/>
      <c r="N192" s="5"/>
      <c r="O192" s="24"/>
    </row>
    <row r="193" customFormat="false" ht="21.75" hidden="false" customHeight="true" outlineLevel="0" collapsed="false">
      <c r="A193" s="17"/>
      <c r="B193" s="11"/>
      <c r="C193" s="12"/>
      <c r="D193" s="18"/>
      <c r="E193" s="18"/>
      <c r="F193" s="18"/>
      <c r="G193" s="19" t="str">
        <f aca="false">IFERROR(F193/D193,"")</f>
        <v/>
      </c>
      <c r="H193" s="20" t="str">
        <f aca="false">IFERROR(C193/F193,"")</f>
        <v/>
      </c>
      <c r="I193" s="20" t="str">
        <f aca="false">IFERROR(C193/D193*1000,"")</f>
        <v/>
      </c>
      <c r="J193" s="11"/>
      <c r="K193" s="20" t="str">
        <f aca="false">IFERROR(C193/J193,"")</f>
        <v/>
      </c>
      <c r="L193" s="19" t="str">
        <f aca="false">IFERROR(J193/F193,"")</f>
        <v/>
      </c>
      <c r="M193" s="11"/>
      <c r="N193" s="11"/>
      <c r="O193" s="21"/>
    </row>
    <row r="194" customFormat="false" ht="21.75" hidden="false" customHeight="true" outlineLevel="0" collapsed="false">
      <c r="A194" s="22"/>
      <c r="B194" s="5"/>
      <c r="C194" s="7"/>
      <c r="D194" s="23"/>
      <c r="E194" s="23"/>
      <c r="F194" s="23"/>
      <c r="G194" s="19" t="str">
        <f aca="false">IFERROR(F194/D194,"")</f>
        <v/>
      </c>
      <c r="H194" s="20" t="str">
        <f aca="false">IFERROR(C194/F194,"")</f>
        <v/>
      </c>
      <c r="I194" s="20" t="str">
        <f aca="false">IFERROR(C194/D194*1000,"")</f>
        <v/>
      </c>
      <c r="J194" s="5"/>
      <c r="K194" s="20" t="str">
        <f aca="false">IFERROR(C194/J194,"")</f>
        <v/>
      </c>
      <c r="L194" s="19" t="str">
        <f aca="false">IFERROR(J194/F194,"")</f>
        <v/>
      </c>
      <c r="M194" s="5"/>
      <c r="N194" s="5"/>
      <c r="O194" s="24"/>
    </row>
    <row r="195" customFormat="false" ht="21.75" hidden="false" customHeight="true" outlineLevel="0" collapsed="false">
      <c r="A195" s="17"/>
      <c r="B195" s="11"/>
      <c r="C195" s="12"/>
      <c r="D195" s="18"/>
      <c r="E195" s="18"/>
      <c r="F195" s="18"/>
      <c r="G195" s="19" t="str">
        <f aca="false">IFERROR(F195/D195,"")</f>
        <v/>
      </c>
      <c r="H195" s="20" t="str">
        <f aca="false">IFERROR(C195/F195,"")</f>
        <v/>
      </c>
      <c r="I195" s="20" t="str">
        <f aca="false">IFERROR(C195/D195*1000,"")</f>
        <v/>
      </c>
      <c r="J195" s="11"/>
      <c r="K195" s="20" t="str">
        <f aca="false">IFERROR(C195/J195,"")</f>
        <v/>
      </c>
      <c r="L195" s="19" t="str">
        <f aca="false">IFERROR(J195/F195,"")</f>
        <v/>
      </c>
      <c r="M195" s="11"/>
      <c r="N195" s="11"/>
      <c r="O195" s="21"/>
    </row>
    <row r="196" customFormat="false" ht="21.75" hidden="false" customHeight="true" outlineLevel="0" collapsed="false">
      <c r="A196" s="22"/>
      <c r="B196" s="5"/>
      <c r="C196" s="7"/>
      <c r="D196" s="23"/>
      <c r="E196" s="23"/>
      <c r="F196" s="23"/>
      <c r="G196" s="19" t="str">
        <f aca="false">IFERROR(F196/D196,"")</f>
        <v/>
      </c>
      <c r="H196" s="20" t="str">
        <f aca="false">IFERROR(C196/F196,"")</f>
        <v/>
      </c>
      <c r="I196" s="20" t="str">
        <f aca="false">IFERROR(C196/D196*1000,"")</f>
        <v/>
      </c>
      <c r="J196" s="5"/>
      <c r="K196" s="20" t="str">
        <f aca="false">IFERROR(C196/J196,"")</f>
        <v/>
      </c>
      <c r="L196" s="19" t="str">
        <f aca="false">IFERROR(J196/F196,"")</f>
        <v/>
      </c>
      <c r="M196" s="5"/>
      <c r="N196" s="5"/>
      <c r="O196" s="24"/>
    </row>
    <row r="197" customFormat="false" ht="21.75" hidden="false" customHeight="true" outlineLevel="0" collapsed="false">
      <c r="A197" s="17"/>
      <c r="B197" s="11"/>
      <c r="C197" s="12"/>
      <c r="D197" s="18"/>
      <c r="E197" s="18"/>
      <c r="F197" s="18"/>
      <c r="G197" s="19" t="str">
        <f aca="false">IFERROR(F197/D197,"")</f>
        <v/>
      </c>
      <c r="H197" s="20" t="str">
        <f aca="false">IFERROR(C197/F197,"")</f>
        <v/>
      </c>
      <c r="I197" s="20" t="str">
        <f aca="false">IFERROR(C197/D197*1000,"")</f>
        <v/>
      </c>
      <c r="J197" s="11"/>
      <c r="K197" s="20" t="str">
        <f aca="false">IFERROR(C197/J197,"")</f>
        <v/>
      </c>
      <c r="L197" s="19" t="str">
        <f aca="false">IFERROR(J197/F197,"")</f>
        <v/>
      </c>
      <c r="M197" s="11"/>
      <c r="N197" s="11"/>
      <c r="O197" s="21"/>
    </row>
    <row r="198" customFormat="false" ht="21.75" hidden="false" customHeight="true" outlineLevel="0" collapsed="false">
      <c r="A198" s="22"/>
      <c r="B198" s="5"/>
      <c r="C198" s="7"/>
      <c r="D198" s="23"/>
      <c r="E198" s="23"/>
      <c r="F198" s="23"/>
      <c r="G198" s="19" t="str">
        <f aca="false">IFERROR(F198/D198,"")</f>
        <v/>
      </c>
      <c r="H198" s="20" t="str">
        <f aca="false">IFERROR(C198/F198,"")</f>
        <v/>
      </c>
      <c r="I198" s="20" t="str">
        <f aca="false">IFERROR(C198/D198*1000,"")</f>
        <v/>
      </c>
      <c r="J198" s="5"/>
      <c r="K198" s="20" t="str">
        <f aca="false">IFERROR(C198/J198,"")</f>
        <v/>
      </c>
      <c r="L198" s="19" t="str">
        <f aca="false">IFERROR(J198/F198,"")</f>
        <v/>
      </c>
      <c r="M198" s="5"/>
      <c r="N198" s="5"/>
      <c r="O198" s="24"/>
    </row>
    <row r="199" customFormat="false" ht="21.75" hidden="false" customHeight="true" outlineLevel="0" collapsed="false">
      <c r="A199" s="17"/>
      <c r="B199" s="11"/>
      <c r="C199" s="12"/>
      <c r="D199" s="18"/>
      <c r="E199" s="18"/>
      <c r="F199" s="18"/>
      <c r="G199" s="19" t="str">
        <f aca="false">IFERROR(F199/D199,"")</f>
        <v/>
      </c>
      <c r="H199" s="20" t="str">
        <f aca="false">IFERROR(C199/F199,"")</f>
        <v/>
      </c>
      <c r="I199" s="20" t="str">
        <f aca="false">IFERROR(C199/D199*1000,"")</f>
        <v/>
      </c>
      <c r="J199" s="11"/>
      <c r="K199" s="20" t="str">
        <f aca="false">IFERROR(C199/J199,"")</f>
        <v/>
      </c>
      <c r="L199" s="19" t="str">
        <f aca="false">IFERROR(J199/F199,"")</f>
        <v/>
      </c>
      <c r="M199" s="11"/>
      <c r="N199" s="11"/>
      <c r="O199" s="21"/>
    </row>
    <row r="200" customFormat="false" ht="21.75" hidden="false" customHeight="true" outlineLevel="0" collapsed="false">
      <c r="A200" s="22"/>
      <c r="B200" s="5"/>
      <c r="C200" s="7"/>
      <c r="D200" s="23"/>
      <c r="E200" s="23"/>
      <c r="F200" s="23"/>
      <c r="G200" s="19" t="str">
        <f aca="false">IFERROR(F200/D200,"")</f>
        <v/>
      </c>
      <c r="H200" s="20" t="str">
        <f aca="false">IFERROR(C200/F200,"")</f>
        <v/>
      </c>
      <c r="I200" s="20" t="str">
        <f aca="false">IFERROR(C200/D200*1000,"")</f>
        <v/>
      </c>
      <c r="J200" s="5"/>
      <c r="K200" s="20" t="str">
        <f aca="false">IFERROR(C200/J200,"")</f>
        <v/>
      </c>
      <c r="L200" s="19" t="str">
        <f aca="false">IFERROR(J200/F200,"")</f>
        <v/>
      </c>
      <c r="M200" s="5"/>
      <c r="N200" s="5"/>
      <c r="O200" s="24"/>
    </row>
    <row r="201" customFormat="false" ht="21.75" hidden="false" customHeight="true" outlineLevel="0" collapsed="false">
      <c r="A201" s="17"/>
      <c r="B201" s="11"/>
      <c r="C201" s="12"/>
      <c r="D201" s="18"/>
      <c r="E201" s="18"/>
      <c r="F201" s="18"/>
      <c r="G201" s="19" t="str">
        <f aca="false">IFERROR(F201/D201,"")</f>
        <v/>
      </c>
      <c r="H201" s="20" t="str">
        <f aca="false">IFERROR(C201/F201,"")</f>
        <v/>
      </c>
      <c r="I201" s="20" t="str">
        <f aca="false">IFERROR(C201/D201*1000,"")</f>
        <v/>
      </c>
      <c r="J201" s="11"/>
      <c r="K201" s="20" t="str">
        <f aca="false">IFERROR(C201/J201,"")</f>
        <v/>
      </c>
      <c r="L201" s="19" t="str">
        <f aca="false">IFERROR(J201/F201,"")</f>
        <v/>
      </c>
      <c r="M201" s="11"/>
      <c r="N201" s="11"/>
      <c r="O201" s="21"/>
    </row>
    <row r="202" customFormat="false" ht="21.75" hidden="false" customHeight="true" outlineLevel="0" collapsed="false">
      <c r="A202" s="22"/>
      <c r="B202" s="5"/>
      <c r="C202" s="7"/>
      <c r="D202" s="23"/>
      <c r="E202" s="23"/>
      <c r="F202" s="23"/>
      <c r="G202" s="19" t="str">
        <f aca="false">IFERROR(F202/D202,"")</f>
        <v/>
      </c>
      <c r="H202" s="20" t="str">
        <f aca="false">IFERROR(C202/F202,"")</f>
        <v/>
      </c>
      <c r="I202" s="20" t="str">
        <f aca="false">IFERROR(C202/D202*1000,"")</f>
        <v/>
      </c>
      <c r="J202" s="5"/>
      <c r="K202" s="20" t="str">
        <f aca="false">IFERROR(C202/J202,"")</f>
        <v/>
      </c>
      <c r="L202" s="19" t="str">
        <f aca="false">IFERROR(J202/F202,"")</f>
        <v/>
      </c>
      <c r="M202" s="5"/>
      <c r="N202" s="5"/>
      <c r="O202" s="24"/>
    </row>
    <row r="203" customFormat="false" ht="21.75" hidden="false" customHeight="true" outlineLevel="0" collapsed="false">
      <c r="A203" s="17"/>
      <c r="B203" s="11"/>
      <c r="C203" s="12"/>
      <c r="D203" s="18"/>
      <c r="E203" s="18"/>
      <c r="F203" s="18"/>
      <c r="G203" s="19" t="str">
        <f aca="false">IFERROR(F203/D203,"")</f>
        <v/>
      </c>
      <c r="H203" s="20" t="str">
        <f aca="false">IFERROR(C203/F203,"")</f>
        <v/>
      </c>
      <c r="I203" s="20" t="str">
        <f aca="false">IFERROR(C203/D203*1000,"")</f>
        <v/>
      </c>
      <c r="J203" s="11"/>
      <c r="K203" s="20" t="str">
        <f aca="false">IFERROR(C203/J203,"")</f>
        <v/>
      </c>
      <c r="L203" s="19" t="str">
        <f aca="false">IFERROR(J203/F203,"")</f>
        <v/>
      </c>
      <c r="M203" s="11"/>
      <c r="N203" s="11"/>
      <c r="O203" s="21"/>
    </row>
    <row r="204" customFormat="false" ht="21.75" hidden="false" customHeight="true" outlineLevel="0" collapsed="false">
      <c r="A204" s="22"/>
      <c r="B204" s="5"/>
      <c r="C204" s="7"/>
      <c r="D204" s="23"/>
      <c r="E204" s="23"/>
      <c r="F204" s="23"/>
      <c r="G204" s="19" t="str">
        <f aca="false">IFERROR(F204/D204,"")</f>
        <v/>
      </c>
      <c r="H204" s="20" t="str">
        <f aca="false">IFERROR(C204/F204,"")</f>
        <v/>
      </c>
      <c r="I204" s="20" t="str">
        <f aca="false">IFERROR(C204/D204*1000,"")</f>
        <v/>
      </c>
      <c r="J204" s="5"/>
      <c r="K204" s="20" t="str">
        <f aca="false">IFERROR(C204/J204,"")</f>
        <v/>
      </c>
      <c r="L204" s="19" t="str">
        <f aca="false">IFERROR(J204/F204,"")</f>
        <v/>
      </c>
      <c r="M204" s="5"/>
      <c r="N204" s="5"/>
      <c r="O204" s="24"/>
    </row>
  </sheetData>
  <mergeCells count="5">
    <mergeCell ref="A1:O1"/>
    <mergeCell ref="A2:B2"/>
    <mergeCell ref="E2:F2"/>
    <mergeCell ref="H2:O2"/>
    <mergeCell ref="A3:O3"/>
  </mergeCells>
  <conditionalFormatting sqref="K5:K204">
    <cfRule type="expression" priority="2" aboveAverage="0" equalAverage="0" bottom="0" percent="0" rank="0" text="" dxfId="0">
      <formula>AND(B5="Meta Ads",ISNUMBER(K5),ISNUMBER($C$2),K5&lt;=$C$2)</formula>
    </cfRule>
    <cfRule type="expression" priority="3" aboveAverage="0" equalAverage="0" bottom="0" percent="0" rank="0" text="" dxfId="1">
      <formula>AND(B5="Meta Ads",ISNUMBER(K5),ISNUMBER($C$2),K5&gt;$C$2)</formula>
    </cfRule>
    <cfRule type="expression" priority="4" aboveAverage="0" equalAverage="0" bottom="0" percent="0" rank="0" text="" dxfId="0">
      <formula>AND(B5&lt;&gt;"Meta Ads",ISNUMBER(K5),ISNUMBER($G$2),K5&lt;=$G$2)</formula>
    </cfRule>
    <cfRule type="expression" priority="5" aboveAverage="0" equalAverage="0" bottom="0" percent="0" rank="0" text="" dxfId="1">
      <formula>AND(B5&lt;&gt;"Meta Ads",ISNUMBER(K5),ISNUMBER($G$2),K5&gt;$G$2)</formula>
    </cfRule>
  </conditionalFormatting>
  <dataValidations count="1">
    <dataValidation allowBlank="true" error="Selecione: Meta Ads, Google Search ou Google PMax" errorStyle="stop" errorTitle="Plataforma invalida" operator="between" showDropDown="false" showErrorMessage="true" showInputMessage="false" sqref="B5:B204" type="list">
      <formula1>"Meta Ads,Google Search,Google PMax"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5" min="4" style="0" width="13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9" min="8" style="0" width="11"/>
    <col collapsed="false" customWidth="true" hidden="false" outlineLevel="0" max="10" min="10" style="0" width="13"/>
    <col collapsed="false" customWidth="true" hidden="false" outlineLevel="0" max="12" min="11" style="0" width="12"/>
    <col collapsed="false" customWidth="true" hidden="false" outlineLevel="0" max="13" min="13" style="0" width="9"/>
    <col collapsed="false" customWidth="true" hidden="false" outlineLevel="0" max="14" min="14" style="0" width="12"/>
    <col collapsed="false" customWidth="true" hidden="false" outlineLevel="0" max="15" min="15" style="0" width="34"/>
  </cols>
  <sheetData>
    <row r="1" customFormat="false" ht="37.5" hidden="false" customHeight="true" outlineLevel="0" collapsed="false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1.5" hidden="false" customHeight="true" outlineLevel="0" collapsed="false">
      <c r="A2" s="13" t="s">
        <v>22</v>
      </c>
      <c r="B2" s="13"/>
      <c r="C2" s="14"/>
      <c r="E2" s="13" t="s">
        <v>23</v>
      </c>
      <c r="F2" s="13"/>
      <c r="G2" s="14"/>
      <c r="H2" s="15" t="s">
        <v>24</v>
      </c>
      <c r="I2" s="15"/>
      <c r="J2" s="15"/>
      <c r="K2" s="15"/>
      <c r="L2" s="15"/>
      <c r="M2" s="15"/>
      <c r="N2" s="15"/>
      <c r="O2" s="15"/>
    </row>
    <row r="3" customFormat="false" ht="6" hidden="false" customHeight="true" outlineLevel="0" collapsed="false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customFormat="false" ht="48" hidden="false" customHeight="true" outlineLevel="0" collapsed="false">
      <c r="A4" s="3" t="s">
        <v>25</v>
      </c>
      <c r="B4" s="3" t="s">
        <v>3</v>
      </c>
      <c r="C4" s="3" t="s">
        <v>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31</v>
      </c>
      <c r="J4" s="3" t="s">
        <v>32</v>
      </c>
      <c r="K4" s="3" t="s">
        <v>7</v>
      </c>
      <c r="L4" s="3" t="s">
        <v>33</v>
      </c>
      <c r="M4" s="3" t="s">
        <v>34</v>
      </c>
      <c r="N4" s="3" t="s">
        <v>35</v>
      </c>
      <c r="O4" s="3" t="s">
        <v>36</v>
      </c>
    </row>
    <row r="5" customFormat="false" ht="21.75" hidden="false" customHeight="true" outlineLevel="0" collapsed="false">
      <c r="A5" s="17"/>
      <c r="B5" s="11"/>
      <c r="C5" s="12"/>
      <c r="D5" s="18"/>
      <c r="E5" s="18"/>
      <c r="F5" s="18"/>
      <c r="G5" s="19" t="str">
        <f aca="false">IFERROR(F5/D5,"")</f>
        <v/>
      </c>
      <c r="H5" s="20" t="str">
        <f aca="false">IFERROR(C5/F5,"")</f>
        <v/>
      </c>
      <c r="I5" s="20" t="str">
        <f aca="false">IFERROR(C5/D5*1000,"")</f>
        <v/>
      </c>
      <c r="J5" s="11"/>
      <c r="K5" s="20" t="str">
        <f aca="false">IFERROR(C5/J5,"")</f>
        <v/>
      </c>
      <c r="L5" s="19" t="str">
        <f aca="false">IFERROR(J5/F5,"")</f>
        <v/>
      </c>
      <c r="M5" s="11"/>
      <c r="N5" s="11"/>
      <c r="O5" s="21"/>
    </row>
    <row r="6" customFormat="false" ht="21.75" hidden="false" customHeight="true" outlineLevel="0" collapsed="false">
      <c r="A6" s="22"/>
      <c r="B6" s="5"/>
      <c r="C6" s="7"/>
      <c r="D6" s="23"/>
      <c r="E6" s="23"/>
      <c r="F6" s="23"/>
      <c r="G6" s="19" t="str">
        <f aca="false">IFERROR(F6/D6,"")</f>
        <v/>
      </c>
      <c r="H6" s="20" t="str">
        <f aca="false">IFERROR(C6/F6,"")</f>
        <v/>
      </c>
      <c r="I6" s="20" t="str">
        <f aca="false">IFERROR(C6/D6*1000,"")</f>
        <v/>
      </c>
      <c r="J6" s="5"/>
      <c r="K6" s="20" t="str">
        <f aca="false">IFERROR(C6/J6,"")</f>
        <v/>
      </c>
      <c r="L6" s="19" t="str">
        <f aca="false">IFERROR(J6/F6,"")</f>
        <v/>
      </c>
      <c r="M6" s="5"/>
      <c r="N6" s="5"/>
      <c r="O6" s="24"/>
    </row>
    <row r="7" customFormat="false" ht="21.75" hidden="false" customHeight="true" outlineLevel="0" collapsed="false">
      <c r="A7" s="17"/>
      <c r="B7" s="11"/>
      <c r="C7" s="12"/>
      <c r="D7" s="18"/>
      <c r="E7" s="18"/>
      <c r="F7" s="18"/>
      <c r="G7" s="19" t="str">
        <f aca="false">IFERROR(F7/D7,"")</f>
        <v/>
      </c>
      <c r="H7" s="20" t="str">
        <f aca="false">IFERROR(C7/F7,"")</f>
        <v/>
      </c>
      <c r="I7" s="20" t="str">
        <f aca="false">IFERROR(C7/D7*1000,"")</f>
        <v/>
      </c>
      <c r="J7" s="11"/>
      <c r="K7" s="20" t="str">
        <f aca="false">IFERROR(C7/J7,"")</f>
        <v/>
      </c>
      <c r="L7" s="19" t="str">
        <f aca="false">IFERROR(J7/F7,"")</f>
        <v/>
      </c>
      <c r="M7" s="11"/>
      <c r="N7" s="11"/>
      <c r="O7" s="21"/>
    </row>
    <row r="8" customFormat="false" ht="21.75" hidden="false" customHeight="true" outlineLevel="0" collapsed="false">
      <c r="A8" s="22"/>
      <c r="B8" s="5"/>
      <c r="C8" s="7"/>
      <c r="D8" s="23"/>
      <c r="E8" s="23"/>
      <c r="F8" s="23"/>
      <c r="G8" s="19" t="str">
        <f aca="false">IFERROR(F8/D8,"")</f>
        <v/>
      </c>
      <c r="H8" s="20" t="str">
        <f aca="false">IFERROR(C8/F8,"")</f>
        <v/>
      </c>
      <c r="I8" s="20" t="str">
        <f aca="false">IFERROR(C8/D8*1000,"")</f>
        <v/>
      </c>
      <c r="J8" s="5"/>
      <c r="K8" s="20" t="str">
        <f aca="false">IFERROR(C8/J8,"")</f>
        <v/>
      </c>
      <c r="L8" s="19" t="str">
        <f aca="false">IFERROR(J8/F8,"")</f>
        <v/>
      </c>
      <c r="M8" s="5"/>
      <c r="N8" s="5"/>
      <c r="O8" s="24"/>
    </row>
    <row r="9" customFormat="false" ht="21.75" hidden="false" customHeight="true" outlineLevel="0" collapsed="false">
      <c r="A9" s="17"/>
      <c r="B9" s="11"/>
      <c r="C9" s="12"/>
      <c r="D9" s="18"/>
      <c r="E9" s="18"/>
      <c r="F9" s="18"/>
      <c r="G9" s="19" t="str">
        <f aca="false">IFERROR(F9/D9,"")</f>
        <v/>
      </c>
      <c r="H9" s="20" t="str">
        <f aca="false">IFERROR(C9/F9,"")</f>
        <v/>
      </c>
      <c r="I9" s="20" t="str">
        <f aca="false">IFERROR(C9/D9*1000,"")</f>
        <v/>
      </c>
      <c r="J9" s="11"/>
      <c r="K9" s="20" t="str">
        <f aca="false">IFERROR(C9/J9,"")</f>
        <v/>
      </c>
      <c r="L9" s="19" t="str">
        <f aca="false">IFERROR(J9/F9,"")</f>
        <v/>
      </c>
      <c r="M9" s="11"/>
      <c r="N9" s="11"/>
      <c r="O9" s="21"/>
    </row>
    <row r="10" customFormat="false" ht="21.75" hidden="false" customHeight="true" outlineLevel="0" collapsed="false">
      <c r="A10" s="22"/>
      <c r="B10" s="5"/>
      <c r="C10" s="7"/>
      <c r="D10" s="23"/>
      <c r="E10" s="23"/>
      <c r="F10" s="23"/>
      <c r="G10" s="19" t="str">
        <f aca="false">IFERROR(F10/D10,"")</f>
        <v/>
      </c>
      <c r="H10" s="20" t="str">
        <f aca="false">IFERROR(C10/F10,"")</f>
        <v/>
      </c>
      <c r="I10" s="20" t="str">
        <f aca="false">IFERROR(C10/D10*1000,"")</f>
        <v/>
      </c>
      <c r="J10" s="5"/>
      <c r="K10" s="20" t="str">
        <f aca="false">IFERROR(C10/J10,"")</f>
        <v/>
      </c>
      <c r="L10" s="19" t="str">
        <f aca="false">IFERROR(J10/F10,"")</f>
        <v/>
      </c>
      <c r="M10" s="5"/>
      <c r="N10" s="5"/>
      <c r="O10" s="24"/>
    </row>
    <row r="11" customFormat="false" ht="21.75" hidden="false" customHeight="true" outlineLevel="0" collapsed="false">
      <c r="A11" s="17"/>
      <c r="B11" s="11"/>
      <c r="C11" s="12"/>
      <c r="D11" s="18"/>
      <c r="E11" s="18"/>
      <c r="F11" s="18"/>
      <c r="G11" s="19" t="str">
        <f aca="false">IFERROR(F11/D11,"")</f>
        <v/>
      </c>
      <c r="H11" s="20" t="str">
        <f aca="false">IFERROR(C11/F11,"")</f>
        <v/>
      </c>
      <c r="I11" s="20" t="str">
        <f aca="false">IFERROR(C11/D11*1000,"")</f>
        <v/>
      </c>
      <c r="J11" s="11"/>
      <c r="K11" s="20" t="str">
        <f aca="false">IFERROR(C11/J11,"")</f>
        <v/>
      </c>
      <c r="L11" s="19" t="str">
        <f aca="false">IFERROR(J11/F11,"")</f>
        <v/>
      </c>
      <c r="M11" s="11"/>
      <c r="N11" s="11"/>
      <c r="O11" s="21"/>
    </row>
    <row r="12" customFormat="false" ht="21.75" hidden="false" customHeight="true" outlineLevel="0" collapsed="false">
      <c r="A12" s="22"/>
      <c r="B12" s="5"/>
      <c r="C12" s="7"/>
      <c r="D12" s="23"/>
      <c r="E12" s="23"/>
      <c r="F12" s="23"/>
      <c r="G12" s="19" t="str">
        <f aca="false">IFERROR(F12/D12,"")</f>
        <v/>
      </c>
      <c r="H12" s="20" t="str">
        <f aca="false">IFERROR(C12/F12,"")</f>
        <v/>
      </c>
      <c r="I12" s="20" t="str">
        <f aca="false">IFERROR(C12/D12*1000,"")</f>
        <v/>
      </c>
      <c r="J12" s="5"/>
      <c r="K12" s="20" t="str">
        <f aca="false">IFERROR(C12/J12,"")</f>
        <v/>
      </c>
      <c r="L12" s="19" t="str">
        <f aca="false">IFERROR(J12/F12,"")</f>
        <v/>
      </c>
      <c r="M12" s="5"/>
      <c r="N12" s="5"/>
      <c r="O12" s="24"/>
    </row>
    <row r="13" customFormat="false" ht="21.75" hidden="false" customHeight="true" outlineLevel="0" collapsed="false">
      <c r="A13" s="17"/>
      <c r="B13" s="11"/>
      <c r="C13" s="12"/>
      <c r="D13" s="18"/>
      <c r="E13" s="18"/>
      <c r="F13" s="18"/>
      <c r="G13" s="19" t="str">
        <f aca="false">IFERROR(F13/D13,"")</f>
        <v/>
      </c>
      <c r="H13" s="20" t="str">
        <f aca="false">IFERROR(C13/F13,"")</f>
        <v/>
      </c>
      <c r="I13" s="20" t="str">
        <f aca="false">IFERROR(C13/D13*1000,"")</f>
        <v/>
      </c>
      <c r="J13" s="11"/>
      <c r="K13" s="20" t="str">
        <f aca="false">IFERROR(C13/J13,"")</f>
        <v/>
      </c>
      <c r="L13" s="19" t="str">
        <f aca="false">IFERROR(J13/F13,"")</f>
        <v/>
      </c>
      <c r="M13" s="11"/>
      <c r="N13" s="11"/>
      <c r="O13" s="21"/>
    </row>
    <row r="14" customFormat="false" ht="21.75" hidden="false" customHeight="true" outlineLevel="0" collapsed="false">
      <c r="A14" s="22"/>
      <c r="B14" s="5"/>
      <c r="C14" s="7"/>
      <c r="D14" s="23"/>
      <c r="E14" s="23"/>
      <c r="F14" s="23"/>
      <c r="G14" s="19" t="str">
        <f aca="false">IFERROR(F14/D14,"")</f>
        <v/>
      </c>
      <c r="H14" s="20" t="str">
        <f aca="false">IFERROR(C14/F14,"")</f>
        <v/>
      </c>
      <c r="I14" s="20" t="str">
        <f aca="false">IFERROR(C14/D14*1000,"")</f>
        <v/>
      </c>
      <c r="J14" s="5"/>
      <c r="K14" s="20" t="str">
        <f aca="false">IFERROR(C14/J14,"")</f>
        <v/>
      </c>
      <c r="L14" s="19" t="str">
        <f aca="false">IFERROR(J14/F14,"")</f>
        <v/>
      </c>
      <c r="M14" s="5"/>
      <c r="N14" s="5"/>
      <c r="O14" s="24"/>
    </row>
    <row r="15" customFormat="false" ht="21.75" hidden="false" customHeight="true" outlineLevel="0" collapsed="false">
      <c r="A15" s="17"/>
      <c r="B15" s="11"/>
      <c r="C15" s="12"/>
      <c r="D15" s="18"/>
      <c r="E15" s="18"/>
      <c r="F15" s="18"/>
      <c r="G15" s="19" t="str">
        <f aca="false">IFERROR(F15/D15,"")</f>
        <v/>
      </c>
      <c r="H15" s="20" t="str">
        <f aca="false">IFERROR(C15/F15,"")</f>
        <v/>
      </c>
      <c r="I15" s="20" t="str">
        <f aca="false">IFERROR(C15/D15*1000,"")</f>
        <v/>
      </c>
      <c r="J15" s="11"/>
      <c r="K15" s="20" t="str">
        <f aca="false">IFERROR(C15/J15,"")</f>
        <v/>
      </c>
      <c r="L15" s="19" t="str">
        <f aca="false">IFERROR(J15/F15,"")</f>
        <v/>
      </c>
      <c r="M15" s="11"/>
      <c r="N15" s="11"/>
      <c r="O15" s="21"/>
    </row>
    <row r="16" customFormat="false" ht="21.75" hidden="false" customHeight="true" outlineLevel="0" collapsed="false">
      <c r="A16" s="22"/>
      <c r="B16" s="5"/>
      <c r="C16" s="7"/>
      <c r="D16" s="23"/>
      <c r="E16" s="23"/>
      <c r="F16" s="23"/>
      <c r="G16" s="19" t="str">
        <f aca="false">IFERROR(F16/D16,"")</f>
        <v/>
      </c>
      <c r="H16" s="20" t="str">
        <f aca="false">IFERROR(C16/F16,"")</f>
        <v/>
      </c>
      <c r="I16" s="20" t="str">
        <f aca="false">IFERROR(C16/D16*1000,"")</f>
        <v/>
      </c>
      <c r="J16" s="5"/>
      <c r="K16" s="20" t="str">
        <f aca="false">IFERROR(C16/J16,"")</f>
        <v/>
      </c>
      <c r="L16" s="19" t="str">
        <f aca="false">IFERROR(J16/F16,"")</f>
        <v/>
      </c>
      <c r="M16" s="5"/>
      <c r="N16" s="5"/>
      <c r="O16" s="24"/>
    </row>
    <row r="17" customFormat="false" ht="21.75" hidden="false" customHeight="true" outlineLevel="0" collapsed="false">
      <c r="A17" s="17"/>
      <c r="B17" s="11"/>
      <c r="C17" s="12"/>
      <c r="D17" s="18"/>
      <c r="E17" s="18"/>
      <c r="F17" s="18"/>
      <c r="G17" s="19" t="str">
        <f aca="false">IFERROR(F17/D17,"")</f>
        <v/>
      </c>
      <c r="H17" s="20" t="str">
        <f aca="false">IFERROR(C17/F17,"")</f>
        <v/>
      </c>
      <c r="I17" s="20" t="str">
        <f aca="false">IFERROR(C17/D17*1000,"")</f>
        <v/>
      </c>
      <c r="J17" s="11"/>
      <c r="K17" s="20" t="str">
        <f aca="false">IFERROR(C17/J17,"")</f>
        <v/>
      </c>
      <c r="L17" s="19" t="str">
        <f aca="false">IFERROR(J17/F17,"")</f>
        <v/>
      </c>
      <c r="M17" s="11"/>
      <c r="N17" s="11"/>
      <c r="O17" s="21"/>
    </row>
    <row r="18" customFormat="false" ht="21.75" hidden="false" customHeight="true" outlineLevel="0" collapsed="false">
      <c r="A18" s="22"/>
      <c r="B18" s="5"/>
      <c r="C18" s="7"/>
      <c r="D18" s="23"/>
      <c r="E18" s="23"/>
      <c r="F18" s="23"/>
      <c r="G18" s="19" t="str">
        <f aca="false">IFERROR(F18/D18,"")</f>
        <v/>
      </c>
      <c r="H18" s="20" t="str">
        <f aca="false">IFERROR(C18/F18,"")</f>
        <v/>
      </c>
      <c r="I18" s="20" t="str">
        <f aca="false">IFERROR(C18/D18*1000,"")</f>
        <v/>
      </c>
      <c r="J18" s="5"/>
      <c r="K18" s="20" t="str">
        <f aca="false">IFERROR(C18/J18,"")</f>
        <v/>
      </c>
      <c r="L18" s="19" t="str">
        <f aca="false">IFERROR(J18/F18,"")</f>
        <v/>
      </c>
      <c r="M18" s="5"/>
      <c r="N18" s="5"/>
      <c r="O18" s="24"/>
    </row>
    <row r="19" customFormat="false" ht="21.75" hidden="false" customHeight="true" outlineLevel="0" collapsed="false">
      <c r="A19" s="17"/>
      <c r="B19" s="11"/>
      <c r="C19" s="12"/>
      <c r="D19" s="18"/>
      <c r="E19" s="18"/>
      <c r="F19" s="18"/>
      <c r="G19" s="19" t="str">
        <f aca="false">IFERROR(F19/D19,"")</f>
        <v/>
      </c>
      <c r="H19" s="20" t="str">
        <f aca="false">IFERROR(C19/F19,"")</f>
        <v/>
      </c>
      <c r="I19" s="20" t="str">
        <f aca="false">IFERROR(C19/D19*1000,"")</f>
        <v/>
      </c>
      <c r="J19" s="11"/>
      <c r="K19" s="20" t="str">
        <f aca="false">IFERROR(C19/J19,"")</f>
        <v/>
      </c>
      <c r="L19" s="19" t="str">
        <f aca="false">IFERROR(J19/F19,"")</f>
        <v/>
      </c>
      <c r="M19" s="11"/>
      <c r="N19" s="11"/>
      <c r="O19" s="21"/>
    </row>
    <row r="20" customFormat="false" ht="21.75" hidden="false" customHeight="true" outlineLevel="0" collapsed="false">
      <c r="A20" s="22"/>
      <c r="B20" s="5"/>
      <c r="C20" s="7"/>
      <c r="D20" s="23"/>
      <c r="E20" s="23"/>
      <c r="F20" s="23"/>
      <c r="G20" s="19" t="str">
        <f aca="false">IFERROR(F20/D20,"")</f>
        <v/>
      </c>
      <c r="H20" s="20" t="str">
        <f aca="false">IFERROR(C20/F20,"")</f>
        <v/>
      </c>
      <c r="I20" s="20" t="str">
        <f aca="false">IFERROR(C20/D20*1000,"")</f>
        <v/>
      </c>
      <c r="J20" s="5"/>
      <c r="K20" s="20" t="str">
        <f aca="false">IFERROR(C20/J20,"")</f>
        <v/>
      </c>
      <c r="L20" s="19" t="str">
        <f aca="false">IFERROR(J20/F20,"")</f>
        <v/>
      </c>
      <c r="M20" s="5"/>
      <c r="N20" s="5"/>
      <c r="O20" s="24"/>
    </row>
    <row r="21" customFormat="false" ht="21.75" hidden="false" customHeight="true" outlineLevel="0" collapsed="false">
      <c r="A21" s="17"/>
      <c r="B21" s="11"/>
      <c r="C21" s="12"/>
      <c r="D21" s="18"/>
      <c r="E21" s="18"/>
      <c r="F21" s="18"/>
      <c r="G21" s="19" t="str">
        <f aca="false">IFERROR(F21/D21,"")</f>
        <v/>
      </c>
      <c r="H21" s="20" t="str">
        <f aca="false">IFERROR(C21/F21,"")</f>
        <v/>
      </c>
      <c r="I21" s="20" t="str">
        <f aca="false">IFERROR(C21/D21*1000,"")</f>
        <v/>
      </c>
      <c r="J21" s="11"/>
      <c r="K21" s="20" t="str">
        <f aca="false">IFERROR(C21/J21,"")</f>
        <v/>
      </c>
      <c r="L21" s="19" t="str">
        <f aca="false">IFERROR(J21/F21,"")</f>
        <v/>
      </c>
      <c r="M21" s="11"/>
      <c r="N21" s="11"/>
      <c r="O21" s="21"/>
    </row>
    <row r="22" customFormat="false" ht="21.75" hidden="false" customHeight="true" outlineLevel="0" collapsed="false">
      <c r="A22" s="22"/>
      <c r="B22" s="5"/>
      <c r="C22" s="7"/>
      <c r="D22" s="23"/>
      <c r="E22" s="23"/>
      <c r="F22" s="23"/>
      <c r="G22" s="19" t="str">
        <f aca="false">IFERROR(F22/D22,"")</f>
        <v/>
      </c>
      <c r="H22" s="20" t="str">
        <f aca="false">IFERROR(C22/F22,"")</f>
        <v/>
      </c>
      <c r="I22" s="20" t="str">
        <f aca="false">IFERROR(C22/D22*1000,"")</f>
        <v/>
      </c>
      <c r="J22" s="5"/>
      <c r="K22" s="20" t="str">
        <f aca="false">IFERROR(C22/J22,"")</f>
        <v/>
      </c>
      <c r="L22" s="19" t="str">
        <f aca="false">IFERROR(J22/F22,"")</f>
        <v/>
      </c>
      <c r="M22" s="5"/>
      <c r="N22" s="5"/>
      <c r="O22" s="24"/>
    </row>
    <row r="23" customFormat="false" ht="21.75" hidden="false" customHeight="true" outlineLevel="0" collapsed="false">
      <c r="A23" s="17"/>
      <c r="B23" s="11"/>
      <c r="C23" s="12"/>
      <c r="D23" s="18"/>
      <c r="E23" s="18"/>
      <c r="F23" s="18"/>
      <c r="G23" s="19" t="str">
        <f aca="false">IFERROR(F23/D23,"")</f>
        <v/>
      </c>
      <c r="H23" s="20" t="str">
        <f aca="false">IFERROR(C23/F23,"")</f>
        <v/>
      </c>
      <c r="I23" s="20" t="str">
        <f aca="false">IFERROR(C23/D23*1000,"")</f>
        <v/>
      </c>
      <c r="J23" s="11"/>
      <c r="K23" s="20" t="str">
        <f aca="false">IFERROR(C23/J23,"")</f>
        <v/>
      </c>
      <c r="L23" s="19" t="str">
        <f aca="false">IFERROR(J23/F23,"")</f>
        <v/>
      </c>
      <c r="M23" s="11"/>
      <c r="N23" s="11"/>
      <c r="O23" s="21"/>
    </row>
    <row r="24" customFormat="false" ht="21.75" hidden="false" customHeight="true" outlineLevel="0" collapsed="false">
      <c r="A24" s="22"/>
      <c r="B24" s="5"/>
      <c r="C24" s="7"/>
      <c r="D24" s="23"/>
      <c r="E24" s="23"/>
      <c r="F24" s="23"/>
      <c r="G24" s="19" t="str">
        <f aca="false">IFERROR(F24/D24,"")</f>
        <v/>
      </c>
      <c r="H24" s="20" t="str">
        <f aca="false">IFERROR(C24/F24,"")</f>
        <v/>
      </c>
      <c r="I24" s="20" t="str">
        <f aca="false">IFERROR(C24/D24*1000,"")</f>
        <v/>
      </c>
      <c r="J24" s="5"/>
      <c r="K24" s="20" t="str">
        <f aca="false">IFERROR(C24/J24,"")</f>
        <v/>
      </c>
      <c r="L24" s="19" t="str">
        <f aca="false">IFERROR(J24/F24,"")</f>
        <v/>
      </c>
      <c r="M24" s="5"/>
      <c r="N24" s="5"/>
      <c r="O24" s="24"/>
    </row>
    <row r="25" customFormat="false" ht="21.75" hidden="false" customHeight="true" outlineLevel="0" collapsed="false">
      <c r="A25" s="17"/>
      <c r="B25" s="11"/>
      <c r="C25" s="12"/>
      <c r="D25" s="18"/>
      <c r="E25" s="18"/>
      <c r="F25" s="18"/>
      <c r="G25" s="19" t="str">
        <f aca="false">IFERROR(F25/D25,"")</f>
        <v/>
      </c>
      <c r="H25" s="20" t="str">
        <f aca="false">IFERROR(C25/F25,"")</f>
        <v/>
      </c>
      <c r="I25" s="20" t="str">
        <f aca="false">IFERROR(C25/D25*1000,"")</f>
        <v/>
      </c>
      <c r="J25" s="11"/>
      <c r="K25" s="20" t="str">
        <f aca="false">IFERROR(C25/J25,"")</f>
        <v/>
      </c>
      <c r="L25" s="19" t="str">
        <f aca="false">IFERROR(J25/F25,"")</f>
        <v/>
      </c>
      <c r="M25" s="11"/>
      <c r="N25" s="11"/>
      <c r="O25" s="21"/>
    </row>
    <row r="26" customFormat="false" ht="21.75" hidden="false" customHeight="true" outlineLevel="0" collapsed="false">
      <c r="A26" s="22"/>
      <c r="B26" s="5"/>
      <c r="C26" s="7"/>
      <c r="D26" s="23"/>
      <c r="E26" s="23"/>
      <c r="F26" s="23"/>
      <c r="G26" s="19" t="str">
        <f aca="false">IFERROR(F26/D26,"")</f>
        <v/>
      </c>
      <c r="H26" s="20" t="str">
        <f aca="false">IFERROR(C26/F26,"")</f>
        <v/>
      </c>
      <c r="I26" s="20" t="str">
        <f aca="false">IFERROR(C26/D26*1000,"")</f>
        <v/>
      </c>
      <c r="J26" s="5"/>
      <c r="K26" s="20" t="str">
        <f aca="false">IFERROR(C26/J26,"")</f>
        <v/>
      </c>
      <c r="L26" s="19" t="str">
        <f aca="false">IFERROR(J26/F26,"")</f>
        <v/>
      </c>
      <c r="M26" s="5"/>
      <c r="N26" s="5"/>
      <c r="O26" s="24"/>
    </row>
    <row r="27" customFormat="false" ht="21.75" hidden="false" customHeight="true" outlineLevel="0" collapsed="false">
      <c r="A27" s="17"/>
      <c r="B27" s="11"/>
      <c r="C27" s="12"/>
      <c r="D27" s="18"/>
      <c r="E27" s="18"/>
      <c r="F27" s="18"/>
      <c r="G27" s="19" t="str">
        <f aca="false">IFERROR(F27/D27,"")</f>
        <v/>
      </c>
      <c r="H27" s="20" t="str">
        <f aca="false">IFERROR(C27/F27,"")</f>
        <v/>
      </c>
      <c r="I27" s="20" t="str">
        <f aca="false">IFERROR(C27/D27*1000,"")</f>
        <v/>
      </c>
      <c r="J27" s="11"/>
      <c r="K27" s="20" t="str">
        <f aca="false">IFERROR(C27/J27,"")</f>
        <v/>
      </c>
      <c r="L27" s="19" t="str">
        <f aca="false">IFERROR(J27/F27,"")</f>
        <v/>
      </c>
      <c r="M27" s="11"/>
      <c r="N27" s="11"/>
      <c r="O27" s="21"/>
    </row>
    <row r="28" customFormat="false" ht="21.75" hidden="false" customHeight="true" outlineLevel="0" collapsed="false">
      <c r="A28" s="22"/>
      <c r="B28" s="5"/>
      <c r="C28" s="7"/>
      <c r="D28" s="23"/>
      <c r="E28" s="23"/>
      <c r="F28" s="23"/>
      <c r="G28" s="19" t="str">
        <f aca="false">IFERROR(F28/D28,"")</f>
        <v/>
      </c>
      <c r="H28" s="20" t="str">
        <f aca="false">IFERROR(C28/F28,"")</f>
        <v/>
      </c>
      <c r="I28" s="20" t="str">
        <f aca="false">IFERROR(C28/D28*1000,"")</f>
        <v/>
      </c>
      <c r="J28" s="5"/>
      <c r="K28" s="20" t="str">
        <f aca="false">IFERROR(C28/J28,"")</f>
        <v/>
      </c>
      <c r="L28" s="19" t="str">
        <f aca="false">IFERROR(J28/F28,"")</f>
        <v/>
      </c>
      <c r="M28" s="5"/>
      <c r="N28" s="5"/>
      <c r="O28" s="24"/>
    </row>
    <row r="29" customFormat="false" ht="21.75" hidden="false" customHeight="true" outlineLevel="0" collapsed="false">
      <c r="A29" s="17"/>
      <c r="B29" s="11"/>
      <c r="C29" s="12"/>
      <c r="D29" s="18"/>
      <c r="E29" s="18"/>
      <c r="F29" s="18"/>
      <c r="G29" s="19" t="str">
        <f aca="false">IFERROR(F29/D29,"")</f>
        <v/>
      </c>
      <c r="H29" s="20" t="str">
        <f aca="false">IFERROR(C29/F29,"")</f>
        <v/>
      </c>
      <c r="I29" s="20" t="str">
        <f aca="false">IFERROR(C29/D29*1000,"")</f>
        <v/>
      </c>
      <c r="J29" s="11"/>
      <c r="K29" s="20" t="str">
        <f aca="false">IFERROR(C29/J29,"")</f>
        <v/>
      </c>
      <c r="L29" s="19" t="str">
        <f aca="false">IFERROR(J29/F29,"")</f>
        <v/>
      </c>
      <c r="M29" s="11"/>
      <c r="N29" s="11"/>
      <c r="O29" s="21"/>
    </row>
    <row r="30" customFormat="false" ht="21.75" hidden="false" customHeight="true" outlineLevel="0" collapsed="false">
      <c r="A30" s="22"/>
      <c r="B30" s="5"/>
      <c r="C30" s="7"/>
      <c r="D30" s="23"/>
      <c r="E30" s="23"/>
      <c r="F30" s="23"/>
      <c r="G30" s="19" t="str">
        <f aca="false">IFERROR(F30/D30,"")</f>
        <v/>
      </c>
      <c r="H30" s="20" t="str">
        <f aca="false">IFERROR(C30/F30,"")</f>
        <v/>
      </c>
      <c r="I30" s="20" t="str">
        <f aca="false">IFERROR(C30/D30*1000,"")</f>
        <v/>
      </c>
      <c r="J30" s="5"/>
      <c r="K30" s="20" t="str">
        <f aca="false">IFERROR(C30/J30,"")</f>
        <v/>
      </c>
      <c r="L30" s="19" t="str">
        <f aca="false">IFERROR(J30/F30,"")</f>
        <v/>
      </c>
      <c r="M30" s="5"/>
      <c r="N30" s="5"/>
      <c r="O30" s="24"/>
    </row>
    <row r="31" customFormat="false" ht="21.75" hidden="false" customHeight="true" outlineLevel="0" collapsed="false">
      <c r="A31" s="17"/>
      <c r="B31" s="11"/>
      <c r="C31" s="12"/>
      <c r="D31" s="18"/>
      <c r="E31" s="18"/>
      <c r="F31" s="18"/>
      <c r="G31" s="19" t="str">
        <f aca="false">IFERROR(F31/D31,"")</f>
        <v/>
      </c>
      <c r="H31" s="20" t="str">
        <f aca="false">IFERROR(C31/F31,"")</f>
        <v/>
      </c>
      <c r="I31" s="20" t="str">
        <f aca="false">IFERROR(C31/D31*1000,"")</f>
        <v/>
      </c>
      <c r="J31" s="11"/>
      <c r="K31" s="20" t="str">
        <f aca="false">IFERROR(C31/J31,"")</f>
        <v/>
      </c>
      <c r="L31" s="19" t="str">
        <f aca="false">IFERROR(J31/F31,"")</f>
        <v/>
      </c>
      <c r="M31" s="11"/>
      <c r="N31" s="11"/>
      <c r="O31" s="21"/>
    </row>
    <row r="32" customFormat="false" ht="21.75" hidden="false" customHeight="true" outlineLevel="0" collapsed="false">
      <c r="A32" s="22"/>
      <c r="B32" s="5"/>
      <c r="C32" s="7"/>
      <c r="D32" s="23"/>
      <c r="E32" s="23"/>
      <c r="F32" s="23"/>
      <c r="G32" s="19" t="str">
        <f aca="false">IFERROR(F32/D32,"")</f>
        <v/>
      </c>
      <c r="H32" s="20" t="str">
        <f aca="false">IFERROR(C32/F32,"")</f>
        <v/>
      </c>
      <c r="I32" s="20" t="str">
        <f aca="false">IFERROR(C32/D32*1000,"")</f>
        <v/>
      </c>
      <c r="J32" s="5"/>
      <c r="K32" s="20" t="str">
        <f aca="false">IFERROR(C32/J32,"")</f>
        <v/>
      </c>
      <c r="L32" s="19" t="str">
        <f aca="false">IFERROR(J32/F32,"")</f>
        <v/>
      </c>
      <c r="M32" s="5"/>
      <c r="N32" s="5"/>
      <c r="O32" s="24"/>
    </row>
    <row r="33" customFormat="false" ht="21.75" hidden="false" customHeight="true" outlineLevel="0" collapsed="false">
      <c r="A33" s="17"/>
      <c r="B33" s="11"/>
      <c r="C33" s="12"/>
      <c r="D33" s="18"/>
      <c r="E33" s="18"/>
      <c r="F33" s="18"/>
      <c r="G33" s="19" t="str">
        <f aca="false">IFERROR(F33/D33,"")</f>
        <v/>
      </c>
      <c r="H33" s="20" t="str">
        <f aca="false">IFERROR(C33/F33,"")</f>
        <v/>
      </c>
      <c r="I33" s="20" t="str">
        <f aca="false">IFERROR(C33/D33*1000,"")</f>
        <v/>
      </c>
      <c r="J33" s="11"/>
      <c r="K33" s="20" t="str">
        <f aca="false">IFERROR(C33/J33,"")</f>
        <v/>
      </c>
      <c r="L33" s="19" t="str">
        <f aca="false">IFERROR(J33/F33,"")</f>
        <v/>
      </c>
      <c r="M33" s="11"/>
      <c r="N33" s="11"/>
      <c r="O33" s="21"/>
    </row>
    <row r="34" customFormat="false" ht="21.75" hidden="false" customHeight="true" outlineLevel="0" collapsed="false">
      <c r="A34" s="22"/>
      <c r="B34" s="5"/>
      <c r="C34" s="7"/>
      <c r="D34" s="23"/>
      <c r="E34" s="23"/>
      <c r="F34" s="23"/>
      <c r="G34" s="19" t="str">
        <f aca="false">IFERROR(F34/D34,"")</f>
        <v/>
      </c>
      <c r="H34" s="20" t="str">
        <f aca="false">IFERROR(C34/F34,"")</f>
        <v/>
      </c>
      <c r="I34" s="20" t="str">
        <f aca="false">IFERROR(C34/D34*1000,"")</f>
        <v/>
      </c>
      <c r="J34" s="5"/>
      <c r="K34" s="20" t="str">
        <f aca="false">IFERROR(C34/J34,"")</f>
        <v/>
      </c>
      <c r="L34" s="19" t="str">
        <f aca="false">IFERROR(J34/F34,"")</f>
        <v/>
      </c>
      <c r="M34" s="5"/>
      <c r="N34" s="5"/>
      <c r="O34" s="24"/>
    </row>
    <row r="35" customFormat="false" ht="21.75" hidden="false" customHeight="true" outlineLevel="0" collapsed="false">
      <c r="A35" s="17"/>
      <c r="B35" s="11"/>
      <c r="C35" s="12"/>
      <c r="D35" s="18"/>
      <c r="E35" s="18"/>
      <c r="F35" s="18"/>
      <c r="G35" s="19" t="str">
        <f aca="false">IFERROR(F35/D35,"")</f>
        <v/>
      </c>
      <c r="H35" s="20" t="str">
        <f aca="false">IFERROR(C35/F35,"")</f>
        <v/>
      </c>
      <c r="I35" s="20" t="str">
        <f aca="false">IFERROR(C35/D35*1000,"")</f>
        <v/>
      </c>
      <c r="J35" s="11"/>
      <c r="K35" s="20" t="str">
        <f aca="false">IFERROR(C35/J35,"")</f>
        <v/>
      </c>
      <c r="L35" s="19" t="str">
        <f aca="false">IFERROR(J35/F35,"")</f>
        <v/>
      </c>
      <c r="M35" s="11"/>
      <c r="N35" s="11"/>
      <c r="O35" s="21"/>
    </row>
    <row r="36" customFormat="false" ht="21.75" hidden="false" customHeight="true" outlineLevel="0" collapsed="false">
      <c r="A36" s="22"/>
      <c r="B36" s="5"/>
      <c r="C36" s="7"/>
      <c r="D36" s="23"/>
      <c r="E36" s="23"/>
      <c r="F36" s="23"/>
      <c r="G36" s="19" t="str">
        <f aca="false">IFERROR(F36/D36,"")</f>
        <v/>
      </c>
      <c r="H36" s="20" t="str">
        <f aca="false">IFERROR(C36/F36,"")</f>
        <v/>
      </c>
      <c r="I36" s="20" t="str">
        <f aca="false">IFERROR(C36/D36*1000,"")</f>
        <v/>
      </c>
      <c r="J36" s="5"/>
      <c r="K36" s="20" t="str">
        <f aca="false">IFERROR(C36/J36,"")</f>
        <v/>
      </c>
      <c r="L36" s="19" t="str">
        <f aca="false">IFERROR(J36/F36,"")</f>
        <v/>
      </c>
      <c r="M36" s="5"/>
      <c r="N36" s="5"/>
      <c r="O36" s="24"/>
    </row>
    <row r="37" customFormat="false" ht="21.75" hidden="false" customHeight="true" outlineLevel="0" collapsed="false">
      <c r="A37" s="17"/>
      <c r="B37" s="11"/>
      <c r="C37" s="12"/>
      <c r="D37" s="18"/>
      <c r="E37" s="18"/>
      <c r="F37" s="18"/>
      <c r="G37" s="19" t="str">
        <f aca="false">IFERROR(F37/D37,"")</f>
        <v/>
      </c>
      <c r="H37" s="20" t="str">
        <f aca="false">IFERROR(C37/F37,"")</f>
        <v/>
      </c>
      <c r="I37" s="20" t="str">
        <f aca="false">IFERROR(C37/D37*1000,"")</f>
        <v/>
      </c>
      <c r="J37" s="11"/>
      <c r="K37" s="20" t="str">
        <f aca="false">IFERROR(C37/J37,"")</f>
        <v/>
      </c>
      <c r="L37" s="19" t="str">
        <f aca="false">IFERROR(J37/F37,"")</f>
        <v/>
      </c>
      <c r="M37" s="11"/>
      <c r="N37" s="11"/>
      <c r="O37" s="21"/>
    </row>
    <row r="38" customFormat="false" ht="21.75" hidden="false" customHeight="true" outlineLevel="0" collapsed="false">
      <c r="A38" s="22"/>
      <c r="B38" s="5"/>
      <c r="C38" s="7"/>
      <c r="D38" s="23"/>
      <c r="E38" s="23"/>
      <c r="F38" s="23"/>
      <c r="G38" s="19" t="str">
        <f aca="false">IFERROR(F38/D38,"")</f>
        <v/>
      </c>
      <c r="H38" s="20" t="str">
        <f aca="false">IFERROR(C38/F38,"")</f>
        <v/>
      </c>
      <c r="I38" s="20" t="str">
        <f aca="false">IFERROR(C38/D38*1000,"")</f>
        <v/>
      </c>
      <c r="J38" s="5"/>
      <c r="K38" s="20" t="str">
        <f aca="false">IFERROR(C38/J38,"")</f>
        <v/>
      </c>
      <c r="L38" s="19" t="str">
        <f aca="false">IFERROR(J38/F38,"")</f>
        <v/>
      </c>
      <c r="M38" s="5"/>
      <c r="N38" s="5"/>
      <c r="O38" s="24"/>
    </row>
    <row r="39" customFormat="false" ht="21.75" hidden="false" customHeight="true" outlineLevel="0" collapsed="false">
      <c r="A39" s="17"/>
      <c r="B39" s="11"/>
      <c r="C39" s="12"/>
      <c r="D39" s="18"/>
      <c r="E39" s="18"/>
      <c r="F39" s="18"/>
      <c r="G39" s="19" t="str">
        <f aca="false">IFERROR(F39/D39,"")</f>
        <v/>
      </c>
      <c r="H39" s="20" t="str">
        <f aca="false">IFERROR(C39/F39,"")</f>
        <v/>
      </c>
      <c r="I39" s="20" t="str">
        <f aca="false">IFERROR(C39/D39*1000,"")</f>
        <v/>
      </c>
      <c r="J39" s="11"/>
      <c r="K39" s="20" t="str">
        <f aca="false">IFERROR(C39/J39,"")</f>
        <v/>
      </c>
      <c r="L39" s="19" t="str">
        <f aca="false">IFERROR(J39/F39,"")</f>
        <v/>
      </c>
      <c r="M39" s="11"/>
      <c r="N39" s="11"/>
      <c r="O39" s="21"/>
    </row>
    <row r="40" customFormat="false" ht="21.75" hidden="false" customHeight="true" outlineLevel="0" collapsed="false">
      <c r="A40" s="22"/>
      <c r="B40" s="5"/>
      <c r="C40" s="7"/>
      <c r="D40" s="23"/>
      <c r="E40" s="23"/>
      <c r="F40" s="23"/>
      <c r="G40" s="19" t="str">
        <f aca="false">IFERROR(F40/D40,"")</f>
        <v/>
      </c>
      <c r="H40" s="20" t="str">
        <f aca="false">IFERROR(C40/F40,"")</f>
        <v/>
      </c>
      <c r="I40" s="20" t="str">
        <f aca="false">IFERROR(C40/D40*1000,"")</f>
        <v/>
      </c>
      <c r="J40" s="5"/>
      <c r="K40" s="20" t="str">
        <f aca="false">IFERROR(C40/J40,"")</f>
        <v/>
      </c>
      <c r="L40" s="19" t="str">
        <f aca="false">IFERROR(J40/F40,"")</f>
        <v/>
      </c>
      <c r="M40" s="5"/>
      <c r="N40" s="5"/>
      <c r="O40" s="24"/>
    </row>
    <row r="41" customFormat="false" ht="21.75" hidden="false" customHeight="true" outlineLevel="0" collapsed="false">
      <c r="A41" s="17"/>
      <c r="B41" s="11"/>
      <c r="C41" s="12"/>
      <c r="D41" s="18"/>
      <c r="E41" s="18"/>
      <c r="F41" s="18"/>
      <c r="G41" s="19" t="str">
        <f aca="false">IFERROR(F41/D41,"")</f>
        <v/>
      </c>
      <c r="H41" s="20" t="str">
        <f aca="false">IFERROR(C41/F41,"")</f>
        <v/>
      </c>
      <c r="I41" s="20" t="str">
        <f aca="false">IFERROR(C41/D41*1000,"")</f>
        <v/>
      </c>
      <c r="J41" s="11"/>
      <c r="K41" s="20" t="str">
        <f aca="false">IFERROR(C41/J41,"")</f>
        <v/>
      </c>
      <c r="L41" s="19" t="str">
        <f aca="false">IFERROR(J41/F41,"")</f>
        <v/>
      </c>
      <c r="M41" s="11"/>
      <c r="N41" s="11"/>
      <c r="O41" s="21"/>
    </row>
    <row r="42" customFormat="false" ht="21.75" hidden="false" customHeight="true" outlineLevel="0" collapsed="false">
      <c r="A42" s="22"/>
      <c r="B42" s="5"/>
      <c r="C42" s="7"/>
      <c r="D42" s="23"/>
      <c r="E42" s="23"/>
      <c r="F42" s="23"/>
      <c r="G42" s="19" t="str">
        <f aca="false">IFERROR(F42/D42,"")</f>
        <v/>
      </c>
      <c r="H42" s="20" t="str">
        <f aca="false">IFERROR(C42/F42,"")</f>
        <v/>
      </c>
      <c r="I42" s="20" t="str">
        <f aca="false">IFERROR(C42/D42*1000,"")</f>
        <v/>
      </c>
      <c r="J42" s="5"/>
      <c r="K42" s="20" t="str">
        <f aca="false">IFERROR(C42/J42,"")</f>
        <v/>
      </c>
      <c r="L42" s="19" t="str">
        <f aca="false">IFERROR(J42/F42,"")</f>
        <v/>
      </c>
      <c r="M42" s="5"/>
      <c r="N42" s="5"/>
      <c r="O42" s="24"/>
    </row>
    <row r="43" customFormat="false" ht="21.75" hidden="false" customHeight="true" outlineLevel="0" collapsed="false">
      <c r="A43" s="17"/>
      <c r="B43" s="11"/>
      <c r="C43" s="12"/>
      <c r="D43" s="18"/>
      <c r="E43" s="18"/>
      <c r="F43" s="18"/>
      <c r="G43" s="19" t="str">
        <f aca="false">IFERROR(F43/D43,"")</f>
        <v/>
      </c>
      <c r="H43" s="20" t="str">
        <f aca="false">IFERROR(C43/F43,"")</f>
        <v/>
      </c>
      <c r="I43" s="20" t="str">
        <f aca="false">IFERROR(C43/D43*1000,"")</f>
        <v/>
      </c>
      <c r="J43" s="11"/>
      <c r="K43" s="20" t="str">
        <f aca="false">IFERROR(C43/J43,"")</f>
        <v/>
      </c>
      <c r="L43" s="19" t="str">
        <f aca="false">IFERROR(J43/F43,"")</f>
        <v/>
      </c>
      <c r="M43" s="11"/>
      <c r="N43" s="11"/>
      <c r="O43" s="21"/>
    </row>
    <row r="44" customFormat="false" ht="21.75" hidden="false" customHeight="true" outlineLevel="0" collapsed="false">
      <c r="A44" s="22"/>
      <c r="B44" s="5"/>
      <c r="C44" s="7"/>
      <c r="D44" s="23"/>
      <c r="E44" s="23"/>
      <c r="F44" s="23"/>
      <c r="G44" s="19" t="str">
        <f aca="false">IFERROR(F44/D44,"")</f>
        <v/>
      </c>
      <c r="H44" s="20" t="str">
        <f aca="false">IFERROR(C44/F44,"")</f>
        <v/>
      </c>
      <c r="I44" s="20" t="str">
        <f aca="false">IFERROR(C44/D44*1000,"")</f>
        <v/>
      </c>
      <c r="J44" s="5"/>
      <c r="K44" s="20" t="str">
        <f aca="false">IFERROR(C44/J44,"")</f>
        <v/>
      </c>
      <c r="L44" s="19" t="str">
        <f aca="false">IFERROR(J44/F44,"")</f>
        <v/>
      </c>
      <c r="M44" s="5"/>
      <c r="N44" s="5"/>
      <c r="O44" s="24"/>
    </row>
    <row r="45" customFormat="false" ht="21.75" hidden="false" customHeight="true" outlineLevel="0" collapsed="false">
      <c r="A45" s="17"/>
      <c r="B45" s="11"/>
      <c r="C45" s="12"/>
      <c r="D45" s="18"/>
      <c r="E45" s="18"/>
      <c r="F45" s="18"/>
      <c r="G45" s="19" t="str">
        <f aca="false">IFERROR(F45/D45,"")</f>
        <v/>
      </c>
      <c r="H45" s="20" t="str">
        <f aca="false">IFERROR(C45/F45,"")</f>
        <v/>
      </c>
      <c r="I45" s="20" t="str">
        <f aca="false">IFERROR(C45/D45*1000,"")</f>
        <v/>
      </c>
      <c r="J45" s="11"/>
      <c r="K45" s="20" t="str">
        <f aca="false">IFERROR(C45/J45,"")</f>
        <v/>
      </c>
      <c r="L45" s="19" t="str">
        <f aca="false">IFERROR(J45/F45,"")</f>
        <v/>
      </c>
      <c r="M45" s="11"/>
      <c r="N45" s="11"/>
      <c r="O45" s="21"/>
    </row>
    <row r="46" customFormat="false" ht="21.75" hidden="false" customHeight="true" outlineLevel="0" collapsed="false">
      <c r="A46" s="22"/>
      <c r="B46" s="5"/>
      <c r="C46" s="7"/>
      <c r="D46" s="23"/>
      <c r="E46" s="23"/>
      <c r="F46" s="23"/>
      <c r="G46" s="19" t="str">
        <f aca="false">IFERROR(F46/D46,"")</f>
        <v/>
      </c>
      <c r="H46" s="20" t="str">
        <f aca="false">IFERROR(C46/F46,"")</f>
        <v/>
      </c>
      <c r="I46" s="20" t="str">
        <f aca="false">IFERROR(C46/D46*1000,"")</f>
        <v/>
      </c>
      <c r="J46" s="5"/>
      <c r="K46" s="20" t="str">
        <f aca="false">IFERROR(C46/J46,"")</f>
        <v/>
      </c>
      <c r="L46" s="19" t="str">
        <f aca="false">IFERROR(J46/F46,"")</f>
        <v/>
      </c>
      <c r="M46" s="5"/>
      <c r="N46" s="5"/>
      <c r="O46" s="24"/>
    </row>
    <row r="47" customFormat="false" ht="21.75" hidden="false" customHeight="true" outlineLevel="0" collapsed="false">
      <c r="A47" s="17"/>
      <c r="B47" s="11"/>
      <c r="C47" s="12"/>
      <c r="D47" s="18"/>
      <c r="E47" s="18"/>
      <c r="F47" s="18"/>
      <c r="G47" s="19" t="str">
        <f aca="false">IFERROR(F47/D47,"")</f>
        <v/>
      </c>
      <c r="H47" s="20" t="str">
        <f aca="false">IFERROR(C47/F47,"")</f>
        <v/>
      </c>
      <c r="I47" s="20" t="str">
        <f aca="false">IFERROR(C47/D47*1000,"")</f>
        <v/>
      </c>
      <c r="J47" s="11"/>
      <c r="K47" s="20" t="str">
        <f aca="false">IFERROR(C47/J47,"")</f>
        <v/>
      </c>
      <c r="L47" s="19" t="str">
        <f aca="false">IFERROR(J47/F47,"")</f>
        <v/>
      </c>
      <c r="M47" s="11"/>
      <c r="N47" s="11"/>
      <c r="O47" s="21"/>
    </row>
    <row r="48" customFormat="false" ht="21.75" hidden="false" customHeight="true" outlineLevel="0" collapsed="false">
      <c r="A48" s="22"/>
      <c r="B48" s="5"/>
      <c r="C48" s="7"/>
      <c r="D48" s="23"/>
      <c r="E48" s="23"/>
      <c r="F48" s="23"/>
      <c r="G48" s="19" t="str">
        <f aca="false">IFERROR(F48/D48,"")</f>
        <v/>
      </c>
      <c r="H48" s="20" t="str">
        <f aca="false">IFERROR(C48/F48,"")</f>
        <v/>
      </c>
      <c r="I48" s="20" t="str">
        <f aca="false">IFERROR(C48/D48*1000,"")</f>
        <v/>
      </c>
      <c r="J48" s="5"/>
      <c r="K48" s="20" t="str">
        <f aca="false">IFERROR(C48/J48,"")</f>
        <v/>
      </c>
      <c r="L48" s="19" t="str">
        <f aca="false">IFERROR(J48/F48,"")</f>
        <v/>
      </c>
      <c r="M48" s="5"/>
      <c r="N48" s="5"/>
      <c r="O48" s="24"/>
    </row>
    <row r="49" customFormat="false" ht="21.75" hidden="false" customHeight="true" outlineLevel="0" collapsed="false">
      <c r="A49" s="17"/>
      <c r="B49" s="11"/>
      <c r="C49" s="12"/>
      <c r="D49" s="18"/>
      <c r="E49" s="18"/>
      <c r="F49" s="18"/>
      <c r="G49" s="19" t="str">
        <f aca="false">IFERROR(F49/D49,"")</f>
        <v/>
      </c>
      <c r="H49" s="20" t="str">
        <f aca="false">IFERROR(C49/F49,"")</f>
        <v/>
      </c>
      <c r="I49" s="20" t="str">
        <f aca="false">IFERROR(C49/D49*1000,"")</f>
        <v/>
      </c>
      <c r="J49" s="11"/>
      <c r="K49" s="20" t="str">
        <f aca="false">IFERROR(C49/J49,"")</f>
        <v/>
      </c>
      <c r="L49" s="19" t="str">
        <f aca="false">IFERROR(J49/F49,"")</f>
        <v/>
      </c>
      <c r="M49" s="11"/>
      <c r="N49" s="11"/>
      <c r="O49" s="21"/>
    </row>
    <row r="50" customFormat="false" ht="21.75" hidden="false" customHeight="true" outlineLevel="0" collapsed="false">
      <c r="A50" s="22"/>
      <c r="B50" s="5"/>
      <c r="C50" s="7"/>
      <c r="D50" s="23"/>
      <c r="E50" s="23"/>
      <c r="F50" s="23"/>
      <c r="G50" s="19" t="str">
        <f aca="false">IFERROR(F50/D50,"")</f>
        <v/>
      </c>
      <c r="H50" s="20" t="str">
        <f aca="false">IFERROR(C50/F50,"")</f>
        <v/>
      </c>
      <c r="I50" s="20" t="str">
        <f aca="false">IFERROR(C50/D50*1000,"")</f>
        <v/>
      </c>
      <c r="J50" s="5"/>
      <c r="K50" s="20" t="str">
        <f aca="false">IFERROR(C50/J50,"")</f>
        <v/>
      </c>
      <c r="L50" s="19" t="str">
        <f aca="false">IFERROR(J50/F50,"")</f>
        <v/>
      </c>
      <c r="M50" s="5"/>
      <c r="N50" s="5"/>
      <c r="O50" s="24"/>
    </row>
    <row r="51" customFormat="false" ht="21.75" hidden="false" customHeight="true" outlineLevel="0" collapsed="false">
      <c r="A51" s="17"/>
      <c r="B51" s="11"/>
      <c r="C51" s="12"/>
      <c r="D51" s="18"/>
      <c r="E51" s="18"/>
      <c r="F51" s="18"/>
      <c r="G51" s="19" t="str">
        <f aca="false">IFERROR(F51/D51,"")</f>
        <v/>
      </c>
      <c r="H51" s="20" t="str">
        <f aca="false">IFERROR(C51/F51,"")</f>
        <v/>
      </c>
      <c r="I51" s="20" t="str">
        <f aca="false">IFERROR(C51/D51*1000,"")</f>
        <v/>
      </c>
      <c r="J51" s="11"/>
      <c r="K51" s="20" t="str">
        <f aca="false">IFERROR(C51/J51,"")</f>
        <v/>
      </c>
      <c r="L51" s="19" t="str">
        <f aca="false">IFERROR(J51/F51,"")</f>
        <v/>
      </c>
      <c r="M51" s="11"/>
      <c r="N51" s="11"/>
      <c r="O51" s="21"/>
    </row>
    <row r="52" customFormat="false" ht="21.75" hidden="false" customHeight="true" outlineLevel="0" collapsed="false">
      <c r="A52" s="22"/>
      <c r="B52" s="5"/>
      <c r="C52" s="7"/>
      <c r="D52" s="23"/>
      <c r="E52" s="23"/>
      <c r="F52" s="23"/>
      <c r="G52" s="19" t="str">
        <f aca="false">IFERROR(F52/D52,"")</f>
        <v/>
      </c>
      <c r="H52" s="20" t="str">
        <f aca="false">IFERROR(C52/F52,"")</f>
        <v/>
      </c>
      <c r="I52" s="20" t="str">
        <f aca="false">IFERROR(C52/D52*1000,"")</f>
        <v/>
      </c>
      <c r="J52" s="5"/>
      <c r="K52" s="20" t="str">
        <f aca="false">IFERROR(C52/J52,"")</f>
        <v/>
      </c>
      <c r="L52" s="19" t="str">
        <f aca="false">IFERROR(J52/F52,"")</f>
        <v/>
      </c>
      <c r="M52" s="5"/>
      <c r="N52" s="5"/>
      <c r="O52" s="24"/>
    </row>
    <row r="53" customFormat="false" ht="21.75" hidden="false" customHeight="true" outlineLevel="0" collapsed="false">
      <c r="A53" s="17"/>
      <c r="B53" s="11"/>
      <c r="C53" s="12"/>
      <c r="D53" s="18"/>
      <c r="E53" s="18"/>
      <c r="F53" s="18"/>
      <c r="G53" s="19" t="str">
        <f aca="false">IFERROR(F53/D53,"")</f>
        <v/>
      </c>
      <c r="H53" s="20" t="str">
        <f aca="false">IFERROR(C53/F53,"")</f>
        <v/>
      </c>
      <c r="I53" s="20" t="str">
        <f aca="false">IFERROR(C53/D53*1000,"")</f>
        <v/>
      </c>
      <c r="J53" s="11"/>
      <c r="K53" s="20" t="str">
        <f aca="false">IFERROR(C53/J53,"")</f>
        <v/>
      </c>
      <c r="L53" s="19" t="str">
        <f aca="false">IFERROR(J53/F53,"")</f>
        <v/>
      </c>
      <c r="M53" s="11"/>
      <c r="N53" s="11"/>
      <c r="O53" s="21"/>
    </row>
    <row r="54" customFormat="false" ht="21.75" hidden="false" customHeight="true" outlineLevel="0" collapsed="false">
      <c r="A54" s="22"/>
      <c r="B54" s="5"/>
      <c r="C54" s="7"/>
      <c r="D54" s="23"/>
      <c r="E54" s="23"/>
      <c r="F54" s="23"/>
      <c r="G54" s="19" t="str">
        <f aca="false">IFERROR(F54/D54,"")</f>
        <v/>
      </c>
      <c r="H54" s="20" t="str">
        <f aca="false">IFERROR(C54/F54,"")</f>
        <v/>
      </c>
      <c r="I54" s="20" t="str">
        <f aca="false">IFERROR(C54/D54*1000,"")</f>
        <v/>
      </c>
      <c r="J54" s="5"/>
      <c r="K54" s="20" t="str">
        <f aca="false">IFERROR(C54/J54,"")</f>
        <v/>
      </c>
      <c r="L54" s="19" t="str">
        <f aca="false">IFERROR(J54/F54,"")</f>
        <v/>
      </c>
      <c r="M54" s="5"/>
      <c r="N54" s="5"/>
      <c r="O54" s="24"/>
    </row>
    <row r="55" customFormat="false" ht="21.75" hidden="false" customHeight="true" outlineLevel="0" collapsed="false">
      <c r="A55" s="17"/>
      <c r="B55" s="11"/>
      <c r="C55" s="12"/>
      <c r="D55" s="18"/>
      <c r="E55" s="18"/>
      <c r="F55" s="18"/>
      <c r="G55" s="19" t="str">
        <f aca="false">IFERROR(F55/D55,"")</f>
        <v/>
      </c>
      <c r="H55" s="20" t="str">
        <f aca="false">IFERROR(C55/F55,"")</f>
        <v/>
      </c>
      <c r="I55" s="20" t="str">
        <f aca="false">IFERROR(C55/D55*1000,"")</f>
        <v/>
      </c>
      <c r="J55" s="11"/>
      <c r="K55" s="20" t="str">
        <f aca="false">IFERROR(C55/J55,"")</f>
        <v/>
      </c>
      <c r="L55" s="19" t="str">
        <f aca="false">IFERROR(J55/F55,"")</f>
        <v/>
      </c>
      <c r="M55" s="11"/>
      <c r="N55" s="11"/>
      <c r="O55" s="21"/>
    </row>
    <row r="56" customFormat="false" ht="21.75" hidden="false" customHeight="true" outlineLevel="0" collapsed="false">
      <c r="A56" s="22"/>
      <c r="B56" s="5"/>
      <c r="C56" s="7"/>
      <c r="D56" s="23"/>
      <c r="E56" s="23"/>
      <c r="F56" s="23"/>
      <c r="G56" s="19" t="str">
        <f aca="false">IFERROR(F56/D56,"")</f>
        <v/>
      </c>
      <c r="H56" s="20" t="str">
        <f aca="false">IFERROR(C56/F56,"")</f>
        <v/>
      </c>
      <c r="I56" s="20" t="str">
        <f aca="false">IFERROR(C56/D56*1000,"")</f>
        <v/>
      </c>
      <c r="J56" s="5"/>
      <c r="K56" s="20" t="str">
        <f aca="false">IFERROR(C56/J56,"")</f>
        <v/>
      </c>
      <c r="L56" s="19" t="str">
        <f aca="false">IFERROR(J56/F56,"")</f>
        <v/>
      </c>
      <c r="M56" s="5"/>
      <c r="N56" s="5"/>
      <c r="O56" s="24"/>
    </row>
    <row r="57" customFormat="false" ht="21.75" hidden="false" customHeight="true" outlineLevel="0" collapsed="false">
      <c r="A57" s="17"/>
      <c r="B57" s="11"/>
      <c r="C57" s="12"/>
      <c r="D57" s="18"/>
      <c r="E57" s="18"/>
      <c r="F57" s="18"/>
      <c r="G57" s="19" t="str">
        <f aca="false">IFERROR(F57/D57,"")</f>
        <v/>
      </c>
      <c r="H57" s="20" t="str">
        <f aca="false">IFERROR(C57/F57,"")</f>
        <v/>
      </c>
      <c r="I57" s="20" t="str">
        <f aca="false">IFERROR(C57/D57*1000,"")</f>
        <v/>
      </c>
      <c r="J57" s="11"/>
      <c r="K57" s="20" t="str">
        <f aca="false">IFERROR(C57/J57,"")</f>
        <v/>
      </c>
      <c r="L57" s="19" t="str">
        <f aca="false">IFERROR(J57/F57,"")</f>
        <v/>
      </c>
      <c r="M57" s="11"/>
      <c r="N57" s="11"/>
      <c r="O57" s="21"/>
    </row>
    <row r="58" customFormat="false" ht="21.75" hidden="false" customHeight="true" outlineLevel="0" collapsed="false">
      <c r="A58" s="22"/>
      <c r="B58" s="5"/>
      <c r="C58" s="7"/>
      <c r="D58" s="23"/>
      <c r="E58" s="23"/>
      <c r="F58" s="23"/>
      <c r="G58" s="19" t="str">
        <f aca="false">IFERROR(F58/D58,"")</f>
        <v/>
      </c>
      <c r="H58" s="20" t="str">
        <f aca="false">IFERROR(C58/F58,"")</f>
        <v/>
      </c>
      <c r="I58" s="20" t="str">
        <f aca="false">IFERROR(C58/D58*1000,"")</f>
        <v/>
      </c>
      <c r="J58" s="5"/>
      <c r="K58" s="20" t="str">
        <f aca="false">IFERROR(C58/J58,"")</f>
        <v/>
      </c>
      <c r="L58" s="19" t="str">
        <f aca="false">IFERROR(J58/F58,"")</f>
        <v/>
      </c>
      <c r="M58" s="5"/>
      <c r="N58" s="5"/>
      <c r="O58" s="24"/>
    </row>
    <row r="59" customFormat="false" ht="21.75" hidden="false" customHeight="true" outlineLevel="0" collapsed="false">
      <c r="A59" s="17"/>
      <c r="B59" s="11"/>
      <c r="C59" s="12"/>
      <c r="D59" s="18"/>
      <c r="E59" s="18"/>
      <c r="F59" s="18"/>
      <c r="G59" s="19" t="str">
        <f aca="false">IFERROR(F59/D59,"")</f>
        <v/>
      </c>
      <c r="H59" s="20" t="str">
        <f aca="false">IFERROR(C59/F59,"")</f>
        <v/>
      </c>
      <c r="I59" s="20" t="str">
        <f aca="false">IFERROR(C59/D59*1000,"")</f>
        <v/>
      </c>
      <c r="J59" s="11"/>
      <c r="K59" s="20" t="str">
        <f aca="false">IFERROR(C59/J59,"")</f>
        <v/>
      </c>
      <c r="L59" s="19" t="str">
        <f aca="false">IFERROR(J59/F59,"")</f>
        <v/>
      </c>
      <c r="M59" s="11"/>
      <c r="N59" s="11"/>
      <c r="O59" s="21"/>
    </row>
    <row r="60" customFormat="false" ht="21.75" hidden="false" customHeight="true" outlineLevel="0" collapsed="false">
      <c r="A60" s="22"/>
      <c r="B60" s="5"/>
      <c r="C60" s="7"/>
      <c r="D60" s="23"/>
      <c r="E60" s="23"/>
      <c r="F60" s="23"/>
      <c r="G60" s="19" t="str">
        <f aca="false">IFERROR(F60/D60,"")</f>
        <v/>
      </c>
      <c r="H60" s="20" t="str">
        <f aca="false">IFERROR(C60/F60,"")</f>
        <v/>
      </c>
      <c r="I60" s="20" t="str">
        <f aca="false">IFERROR(C60/D60*1000,"")</f>
        <v/>
      </c>
      <c r="J60" s="5"/>
      <c r="K60" s="20" t="str">
        <f aca="false">IFERROR(C60/J60,"")</f>
        <v/>
      </c>
      <c r="L60" s="19" t="str">
        <f aca="false">IFERROR(J60/F60,"")</f>
        <v/>
      </c>
      <c r="M60" s="5"/>
      <c r="N60" s="5"/>
      <c r="O60" s="24"/>
    </row>
    <row r="61" customFormat="false" ht="21.75" hidden="false" customHeight="true" outlineLevel="0" collapsed="false">
      <c r="A61" s="17"/>
      <c r="B61" s="11"/>
      <c r="C61" s="12"/>
      <c r="D61" s="18"/>
      <c r="E61" s="18"/>
      <c r="F61" s="18"/>
      <c r="G61" s="19" t="str">
        <f aca="false">IFERROR(F61/D61,"")</f>
        <v/>
      </c>
      <c r="H61" s="20" t="str">
        <f aca="false">IFERROR(C61/F61,"")</f>
        <v/>
      </c>
      <c r="I61" s="20" t="str">
        <f aca="false">IFERROR(C61/D61*1000,"")</f>
        <v/>
      </c>
      <c r="J61" s="11"/>
      <c r="K61" s="20" t="str">
        <f aca="false">IFERROR(C61/J61,"")</f>
        <v/>
      </c>
      <c r="L61" s="19" t="str">
        <f aca="false">IFERROR(J61/F61,"")</f>
        <v/>
      </c>
      <c r="M61" s="11"/>
      <c r="N61" s="11"/>
      <c r="O61" s="21"/>
    </row>
    <row r="62" customFormat="false" ht="21.75" hidden="false" customHeight="true" outlineLevel="0" collapsed="false">
      <c r="A62" s="22"/>
      <c r="B62" s="5"/>
      <c r="C62" s="7"/>
      <c r="D62" s="23"/>
      <c r="E62" s="23"/>
      <c r="F62" s="23"/>
      <c r="G62" s="19" t="str">
        <f aca="false">IFERROR(F62/D62,"")</f>
        <v/>
      </c>
      <c r="H62" s="20" t="str">
        <f aca="false">IFERROR(C62/F62,"")</f>
        <v/>
      </c>
      <c r="I62" s="20" t="str">
        <f aca="false">IFERROR(C62/D62*1000,"")</f>
        <v/>
      </c>
      <c r="J62" s="5"/>
      <c r="K62" s="20" t="str">
        <f aca="false">IFERROR(C62/J62,"")</f>
        <v/>
      </c>
      <c r="L62" s="19" t="str">
        <f aca="false">IFERROR(J62/F62,"")</f>
        <v/>
      </c>
      <c r="M62" s="5"/>
      <c r="N62" s="5"/>
      <c r="O62" s="24"/>
    </row>
    <row r="63" customFormat="false" ht="21.75" hidden="false" customHeight="true" outlineLevel="0" collapsed="false">
      <c r="A63" s="17"/>
      <c r="B63" s="11"/>
      <c r="C63" s="12"/>
      <c r="D63" s="18"/>
      <c r="E63" s="18"/>
      <c r="F63" s="18"/>
      <c r="G63" s="19" t="str">
        <f aca="false">IFERROR(F63/D63,"")</f>
        <v/>
      </c>
      <c r="H63" s="20" t="str">
        <f aca="false">IFERROR(C63/F63,"")</f>
        <v/>
      </c>
      <c r="I63" s="20" t="str">
        <f aca="false">IFERROR(C63/D63*1000,"")</f>
        <v/>
      </c>
      <c r="J63" s="11"/>
      <c r="K63" s="20" t="str">
        <f aca="false">IFERROR(C63/J63,"")</f>
        <v/>
      </c>
      <c r="L63" s="19" t="str">
        <f aca="false">IFERROR(J63/F63,"")</f>
        <v/>
      </c>
      <c r="M63" s="11"/>
      <c r="N63" s="11"/>
      <c r="O63" s="21"/>
    </row>
    <row r="64" customFormat="false" ht="21.75" hidden="false" customHeight="true" outlineLevel="0" collapsed="false">
      <c r="A64" s="22"/>
      <c r="B64" s="5"/>
      <c r="C64" s="7"/>
      <c r="D64" s="23"/>
      <c r="E64" s="23"/>
      <c r="F64" s="23"/>
      <c r="G64" s="19" t="str">
        <f aca="false">IFERROR(F64/D64,"")</f>
        <v/>
      </c>
      <c r="H64" s="20" t="str">
        <f aca="false">IFERROR(C64/F64,"")</f>
        <v/>
      </c>
      <c r="I64" s="20" t="str">
        <f aca="false">IFERROR(C64/D64*1000,"")</f>
        <v/>
      </c>
      <c r="J64" s="5"/>
      <c r="K64" s="20" t="str">
        <f aca="false">IFERROR(C64/J64,"")</f>
        <v/>
      </c>
      <c r="L64" s="19" t="str">
        <f aca="false">IFERROR(J64/F64,"")</f>
        <v/>
      </c>
      <c r="M64" s="5"/>
      <c r="N64" s="5"/>
      <c r="O64" s="24"/>
    </row>
    <row r="65" customFormat="false" ht="21.75" hidden="false" customHeight="true" outlineLevel="0" collapsed="false">
      <c r="A65" s="17"/>
      <c r="B65" s="11"/>
      <c r="C65" s="12"/>
      <c r="D65" s="18"/>
      <c r="E65" s="18"/>
      <c r="F65" s="18"/>
      <c r="G65" s="19" t="str">
        <f aca="false">IFERROR(F65/D65,"")</f>
        <v/>
      </c>
      <c r="H65" s="20" t="str">
        <f aca="false">IFERROR(C65/F65,"")</f>
        <v/>
      </c>
      <c r="I65" s="20" t="str">
        <f aca="false">IFERROR(C65/D65*1000,"")</f>
        <v/>
      </c>
      <c r="J65" s="11"/>
      <c r="K65" s="20" t="str">
        <f aca="false">IFERROR(C65/J65,"")</f>
        <v/>
      </c>
      <c r="L65" s="19" t="str">
        <f aca="false">IFERROR(J65/F65,"")</f>
        <v/>
      </c>
      <c r="M65" s="11"/>
      <c r="N65" s="11"/>
      <c r="O65" s="21"/>
    </row>
    <row r="66" customFormat="false" ht="21.75" hidden="false" customHeight="true" outlineLevel="0" collapsed="false">
      <c r="A66" s="22"/>
      <c r="B66" s="5"/>
      <c r="C66" s="7"/>
      <c r="D66" s="23"/>
      <c r="E66" s="23"/>
      <c r="F66" s="23"/>
      <c r="G66" s="19" t="str">
        <f aca="false">IFERROR(F66/D66,"")</f>
        <v/>
      </c>
      <c r="H66" s="20" t="str">
        <f aca="false">IFERROR(C66/F66,"")</f>
        <v/>
      </c>
      <c r="I66" s="20" t="str">
        <f aca="false">IFERROR(C66/D66*1000,"")</f>
        <v/>
      </c>
      <c r="J66" s="5"/>
      <c r="K66" s="20" t="str">
        <f aca="false">IFERROR(C66/J66,"")</f>
        <v/>
      </c>
      <c r="L66" s="19" t="str">
        <f aca="false">IFERROR(J66/F66,"")</f>
        <v/>
      </c>
      <c r="M66" s="5"/>
      <c r="N66" s="5"/>
      <c r="O66" s="24"/>
    </row>
    <row r="67" customFormat="false" ht="21.75" hidden="false" customHeight="true" outlineLevel="0" collapsed="false">
      <c r="A67" s="17"/>
      <c r="B67" s="11"/>
      <c r="C67" s="12"/>
      <c r="D67" s="18"/>
      <c r="E67" s="18"/>
      <c r="F67" s="18"/>
      <c r="G67" s="19" t="str">
        <f aca="false">IFERROR(F67/D67,"")</f>
        <v/>
      </c>
      <c r="H67" s="20" t="str">
        <f aca="false">IFERROR(C67/F67,"")</f>
        <v/>
      </c>
      <c r="I67" s="20" t="str">
        <f aca="false">IFERROR(C67/D67*1000,"")</f>
        <v/>
      </c>
      <c r="J67" s="11"/>
      <c r="K67" s="20" t="str">
        <f aca="false">IFERROR(C67/J67,"")</f>
        <v/>
      </c>
      <c r="L67" s="19" t="str">
        <f aca="false">IFERROR(J67/F67,"")</f>
        <v/>
      </c>
      <c r="M67" s="11"/>
      <c r="N67" s="11"/>
      <c r="O67" s="21"/>
    </row>
    <row r="68" customFormat="false" ht="21.75" hidden="false" customHeight="true" outlineLevel="0" collapsed="false">
      <c r="A68" s="22"/>
      <c r="B68" s="5"/>
      <c r="C68" s="7"/>
      <c r="D68" s="23"/>
      <c r="E68" s="23"/>
      <c r="F68" s="23"/>
      <c r="G68" s="19" t="str">
        <f aca="false">IFERROR(F68/D68,"")</f>
        <v/>
      </c>
      <c r="H68" s="20" t="str">
        <f aca="false">IFERROR(C68/F68,"")</f>
        <v/>
      </c>
      <c r="I68" s="20" t="str">
        <f aca="false">IFERROR(C68/D68*1000,"")</f>
        <v/>
      </c>
      <c r="J68" s="5"/>
      <c r="K68" s="20" t="str">
        <f aca="false">IFERROR(C68/J68,"")</f>
        <v/>
      </c>
      <c r="L68" s="19" t="str">
        <f aca="false">IFERROR(J68/F68,"")</f>
        <v/>
      </c>
      <c r="M68" s="5"/>
      <c r="N68" s="5"/>
      <c r="O68" s="24"/>
    </row>
    <row r="69" customFormat="false" ht="21.75" hidden="false" customHeight="true" outlineLevel="0" collapsed="false">
      <c r="A69" s="17"/>
      <c r="B69" s="11"/>
      <c r="C69" s="12"/>
      <c r="D69" s="18"/>
      <c r="E69" s="18"/>
      <c r="F69" s="18"/>
      <c r="G69" s="19" t="str">
        <f aca="false">IFERROR(F69/D69,"")</f>
        <v/>
      </c>
      <c r="H69" s="20" t="str">
        <f aca="false">IFERROR(C69/F69,"")</f>
        <v/>
      </c>
      <c r="I69" s="20" t="str">
        <f aca="false">IFERROR(C69/D69*1000,"")</f>
        <v/>
      </c>
      <c r="J69" s="11"/>
      <c r="K69" s="20" t="str">
        <f aca="false">IFERROR(C69/J69,"")</f>
        <v/>
      </c>
      <c r="L69" s="19" t="str">
        <f aca="false">IFERROR(J69/F69,"")</f>
        <v/>
      </c>
      <c r="M69" s="11"/>
      <c r="N69" s="11"/>
      <c r="O69" s="21"/>
    </row>
    <row r="70" customFormat="false" ht="21.75" hidden="false" customHeight="true" outlineLevel="0" collapsed="false">
      <c r="A70" s="22"/>
      <c r="B70" s="5"/>
      <c r="C70" s="7"/>
      <c r="D70" s="23"/>
      <c r="E70" s="23"/>
      <c r="F70" s="23"/>
      <c r="G70" s="19" t="str">
        <f aca="false">IFERROR(F70/D70,"")</f>
        <v/>
      </c>
      <c r="H70" s="20" t="str">
        <f aca="false">IFERROR(C70/F70,"")</f>
        <v/>
      </c>
      <c r="I70" s="20" t="str">
        <f aca="false">IFERROR(C70/D70*1000,"")</f>
        <v/>
      </c>
      <c r="J70" s="5"/>
      <c r="K70" s="20" t="str">
        <f aca="false">IFERROR(C70/J70,"")</f>
        <v/>
      </c>
      <c r="L70" s="19" t="str">
        <f aca="false">IFERROR(J70/F70,"")</f>
        <v/>
      </c>
      <c r="M70" s="5"/>
      <c r="N70" s="5"/>
      <c r="O70" s="24"/>
    </row>
    <row r="71" customFormat="false" ht="21.75" hidden="false" customHeight="true" outlineLevel="0" collapsed="false">
      <c r="A71" s="17"/>
      <c r="B71" s="11"/>
      <c r="C71" s="12"/>
      <c r="D71" s="18"/>
      <c r="E71" s="18"/>
      <c r="F71" s="18"/>
      <c r="G71" s="19" t="str">
        <f aca="false">IFERROR(F71/D71,"")</f>
        <v/>
      </c>
      <c r="H71" s="20" t="str">
        <f aca="false">IFERROR(C71/F71,"")</f>
        <v/>
      </c>
      <c r="I71" s="20" t="str">
        <f aca="false">IFERROR(C71/D71*1000,"")</f>
        <v/>
      </c>
      <c r="J71" s="11"/>
      <c r="K71" s="20" t="str">
        <f aca="false">IFERROR(C71/J71,"")</f>
        <v/>
      </c>
      <c r="L71" s="19" t="str">
        <f aca="false">IFERROR(J71/F71,"")</f>
        <v/>
      </c>
      <c r="M71" s="11"/>
      <c r="N71" s="11"/>
      <c r="O71" s="21"/>
    </row>
    <row r="72" customFormat="false" ht="21.75" hidden="false" customHeight="true" outlineLevel="0" collapsed="false">
      <c r="A72" s="22"/>
      <c r="B72" s="5"/>
      <c r="C72" s="7"/>
      <c r="D72" s="23"/>
      <c r="E72" s="23"/>
      <c r="F72" s="23"/>
      <c r="G72" s="19" t="str">
        <f aca="false">IFERROR(F72/D72,"")</f>
        <v/>
      </c>
      <c r="H72" s="20" t="str">
        <f aca="false">IFERROR(C72/F72,"")</f>
        <v/>
      </c>
      <c r="I72" s="20" t="str">
        <f aca="false">IFERROR(C72/D72*1000,"")</f>
        <v/>
      </c>
      <c r="J72" s="5"/>
      <c r="K72" s="20" t="str">
        <f aca="false">IFERROR(C72/J72,"")</f>
        <v/>
      </c>
      <c r="L72" s="19" t="str">
        <f aca="false">IFERROR(J72/F72,"")</f>
        <v/>
      </c>
      <c r="M72" s="5"/>
      <c r="N72" s="5"/>
      <c r="O72" s="24"/>
    </row>
    <row r="73" customFormat="false" ht="21.75" hidden="false" customHeight="true" outlineLevel="0" collapsed="false">
      <c r="A73" s="17"/>
      <c r="B73" s="11"/>
      <c r="C73" s="12"/>
      <c r="D73" s="18"/>
      <c r="E73" s="18"/>
      <c r="F73" s="18"/>
      <c r="G73" s="19" t="str">
        <f aca="false">IFERROR(F73/D73,"")</f>
        <v/>
      </c>
      <c r="H73" s="20" t="str">
        <f aca="false">IFERROR(C73/F73,"")</f>
        <v/>
      </c>
      <c r="I73" s="20" t="str">
        <f aca="false">IFERROR(C73/D73*1000,"")</f>
        <v/>
      </c>
      <c r="J73" s="11"/>
      <c r="K73" s="20" t="str">
        <f aca="false">IFERROR(C73/J73,"")</f>
        <v/>
      </c>
      <c r="L73" s="19" t="str">
        <f aca="false">IFERROR(J73/F73,"")</f>
        <v/>
      </c>
      <c r="M73" s="11"/>
      <c r="N73" s="11"/>
      <c r="O73" s="21"/>
    </row>
    <row r="74" customFormat="false" ht="21.75" hidden="false" customHeight="true" outlineLevel="0" collapsed="false">
      <c r="A74" s="22"/>
      <c r="B74" s="5"/>
      <c r="C74" s="7"/>
      <c r="D74" s="23"/>
      <c r="E74" s="23"/>
      <c r="F74" s="23"/>
      <c r="G74" s="19" t="str">
        <f aca="false">IFERROR(F74/D74,"")</f>
        <v/>
      </c>
      <c r="H74" s="20" t="str">
        <f aca="false">IFERROR(C74/F74,"")</f>
        <v/>
      </c>
      <c r="I74" s="20" t="str">
        <f aca="false">IFERROR(C74/D74*1000,"")</f>
        <v/>
      </c>
      <c r="J74" s="5"/>
      <c r="K74" s="20" t="str">
        <f aca="false">IFERROR(C74/J74,"")</f>
        <v/>
      </c>
      <c r="L74" s="19" t="str">
        <f aca="false">IFERROR(J74/F74,"")</f>
        <v/>
      </c>
      <c r="M74" s="5"/>
      <c r="N74" s="5"/>
      <c r="O74" s="24"/>
    </row>
    <row r="75" customFormat="false" ht="21.75" hidden="false" customHeight="true" outlineLevel="0" collapsed="false">
      <c r="A75" s="17"/>
      <c r="B75" s="11"/>
      <c r="C75" s="12"/>
      <c r="D75" s="18"/>
      <c r="E75" s="18"/>
      <c r="F75" s="18"/>
      <c r="G75" s="19" t="str">
        <f aca="false">IFERROR(F75/D75,"")</f>
        <v/>
      </c>
      <c r="H75" s="20" t="str">
        <f aca="false">IFERROR(C75/F75,"")</f>
        <v/>
      </c>
      <c r="I75" s="20" t="str">
        <f aca="false">IFERROR(C75/D75*1000,"")</f>
        <v/>
      </c>
      <c r="J75" s="11"/>
      <c r="K75" s="20" t="str">
        <f aca="false">IFERROR(C75/J75,"")</f>
        <v/>
      </c>
      <c r="L75" s="19" t="str">
        <f aca="false">IFERROR(J75/F75,"")</f>
        <v/>
      </c>
      <c r="M75" s="11"/>
      <c r="N75" s="11"/>
      <c r="O75" s="21"/>
    </row>
    <row r="76" customFormat="false" ht="21.75" hidden="false" customHeight="true" outlineLevel="0" collapsed="false">
      <c r="A76" s="22"/>
      <c r="B76" s="5"/>
      <c r="C76" s="7"/>
      <c r="D76" s="23"/>
      <c r="E76" s="23"/>
      <c r="F76" s="23"/>
      <c r="G76" s="19" t="str">
        <f aca="false">IFERROR(F76/D76,"")</f>
        <v/>
      </c>
      <c r="H76" s="20" t="str">
        <f aca="false">IFERROR(C76/F76,"")</f>
        <v/>
      </c>
      <c r="I76" s="20" t="str">
        <f aca="false">IFERROR(C76/D76*1000,"")</f>
        <v/>
      </c>
      <c r="J76" s="5"/>
      <c r="K76" s="20" t="str">
        <f aca="false">IFERROR(C76/J76,"")</f>
        <v/>
      </c>
      <c r="L76" s="19" t="str">
        <f aca="false">IFERROR(J76/F76,"")</f>
        <v/>
      </c>
      <c r="M76" s="5"/>
      <c r="N76" s="5"/>
      <c r="O76" s="24"/>
    </row>
    <row r="77" customFormat="false" ht="21.75" hidden="false" customHeight="true" outlineLevel="0" collapsed="false">
      <c r="A77" s="17"/>
      <c r="B77" s="11"/>
      <c r="C77" s="12"/>
      <c r="D77" s="18"/>
      <c r="E77" s="18"/>
      <c r="F77" s="18"/>
      <c r="G77" s="19" t="str">
        <f aca="false">IFERROR(F77/D77,"")</f>
        <v/>
      </c>
      <c r="H77" s="20" t="str">
        <f aca="false">IFERROR(C77/F77,"")</f>
        <v/>
      </c>
      <c r="I77" s="20" t="str">
        <f aca="false">IFERROR(C77/D77*1000,"")</f>
        <v/>
      </c>
      <c r="J77" s="11"/>
      <c r="K77" s="20" t="str">
        <f aca="false">IFERROR(C77/J77,"")</f>
        <v/>
      </c>
      <c r="L77" s="19" t="str">
        <f aca="false">IFERROR(J77/F77,"")</f>
        <v/>
      </c>
      <c r="M77" s="11"/>
      <c r="N77" s="11"/>
      <c r="O77" s="21"/>
    </row>
    <row r="78" customFormat="false" ht="21.75" hidden="false" customHeight="true" outlineLevel="0" collapsed="false">
      <c r="A78" s="22"/>
      <c r="B78" s="5"/>
      <c r="C78" s="7"/>
      <c r="D78" s="23"/>
      <c r="E78" s="23"/>
      <c r="F78" s="23"/>
      <c r="G78" s="19" t="str">
        <f aca="false">IFERROR(F78/D78,"")</f>
        <v/>
      </c>
      <c r="H78" s="20" t="str">
        <f aca="false">IFERROR(C78/F78,"")</f>
        <v/>
      </c>
      <c r="I78" s="20" t="str">
        <f aca="false">IFERROR(C78/D78*1000,"")</f>
        <v/>
      </c>
      <c r="J78" s="5"/>
      <c r="K78" s="20" t="str">
        <f aca="false">IFERROR(C78/J78,"")</f>
        <v/>
      </c>
      <c r="L78" s="19" t="str">
        <f aca="false">IFERROR(J78/F78,"")</f>
        <v/>
      </c>
      <c r="M78" s="5"/>
      <c r="N78" s="5"/>
      <c r="O78" s="24"/>
    </row>
    <row r="79" customFormat="false" ht="21.75" hidden="false" customHeight="true" outlineLevel="0" collapsed="false">
      <c r="A79" s="17"/>
      <c r="B79" s="11"/>
      <c r="C79" s="12"/>
      <c r="D79" s="18"/>
      <c r="E79" s="18"/>
      <c r="F79" s="18"/>
      <c r="G79" s="19" t="str">
        <f aca="false">IFERROR(F79/D79,"")</f>
        <v/>
      </c>
      <c r="H79" s="20" t="str">
        <f aca="false">IFERROR(C79/F79,"")</f>
        <v/>
      </c>
      <c r="I79" s="20" t="str">
        <f aca="false">IFERROR(C79/D79*1000,"")</f>
        <v/>
      </c>
      <c r="J79" s="11"/>
      <c r="K79" s="20" t="str">
        <f aca="false">IFERROR(C79/J79,"")</f>
        <v/>
      </c>
      <c r="L79" s="19" t="str">
        <f aca="false">IFERROR(J79/F79,"")</f>
        <v/>
      </c>
      <c r="M79" s="11"/>
      <c r="N79" s="11"/>
      <c r="O79" s="21"/>
    </row>
    <row r="80" customFormat="false" ht="21.75" hidden="false" customHeight="true" outlineLevel="0" collapsed="false">
      <c r="A80" s="22"/>
      <c r="B80" s="5"/>
      <c r="C80" s="7"/>
      <c r="D80" s="23"/>
      <c r="E80" s="23"/>
      <c r="F80" s="23"/>
      <c r="G80" s="19" t="str">
        <f aca="false">IFERROR(F80/D80,"")</f>
        <v/>
      </c>
      <c r="H80" s="20" t="str">
        <f aca="false">IFERROR(C80/F80,"")</f>
        <v/>
      </c>
      <c r="I80" s="20" t="str">
        <f aca="false">IFERROR(C80/D80*1000,"")</f>
        <v/>
      </c>
      <c r="J80" s="5"/>
      <c r="K80" s="20" t="str">
        <f aca="false">IFERROR(C80/J80,"")</f>
        <v/>
      </c>
      <c r="L80" s="19" t="str">
        <f aca="false">IFERROR(J80/F80,"")</f>
        <v/>
      </c>
      <c r="M80" s="5"/>
      <c r="N80" s="5"/>
      <c r="O80" s="24"/>
    </row>
    <row r="81" customFormat="false" ht="21.75" hidden="false" customHeight="true" outlineLevel="0" collapsed="false">
      <c r="A81" s="17"/>
      <c r="B81" s="11"/>
      <c r="C81" s="12"/>
      <c r="D81" s="18"/>
      <c r="E81" s="18"/>
      <c r="F81" s="18"/>
      <c r="G81" s="19" t="str">
        <f aca="false">IFERROR(F81/D81,"")</f>
        <v/>
      </c>
      <c r="H81" s="20" t="str">
        <f aca="false">IFERROR(C81/F81,"")</f>
        <v/>
      </c>
      <c r="I81" s="20" t="str">
        <f aca="false">IFERROR(C81/D81*1000,"")</f>
        <v/>
      </c>
      <c r="J81" s="11"/>
      <c r="K81" s="20" t="str">
        <f aca="false">IFERROR(C81/J81,"")</f>
        <v/>
      </c>
      <c r="L81" s="19" t="str">
        <f aca="false">IFERROR(J81/F81,"")</f>
        <v/>
      </c>
      <c r="M81" s="11"/>
      <c r="N81" s="11"/>
      <c r="O81" s="21"/>
    </row>
    <row r="82" customFormat="false" ht="21.75" hidden="false" customHeight="true" outlineLevel="0" collapsed="false">
      <c r="A82" s="22"/>
      <c r="B82" s="5"/>
      <c r="C82" s="7"/>
      <c r="D82" s="23"/>
      <c r="E82" s="23"/>
      <c r="F82" s="23"/>
      <c r="G82" s="19" t="str">
        <f aca="false">IFERROR(F82/D82,"")</f>
        <v/>
      </c>
      <c r="H82" s="20" t="str">
        <f aca="false">IFERROR(C82/F82,"")</f>
        <v/>
      </c>
      <c r="I82" s="20" t="str">
        <f aca="false">IFERROR(C82/D82*1000,"")</f>
        <v/>
      </c>
      <c r="J82" s="5"/>
      <c r="K82" s="20" t="str">
        <f aca="false">IFERROR(C82/J82,"")</f>
        <v/>
      </c>
      <c r="L82" s="19" t="str">
        <f aca="false">IFERROR(J82/F82,"")</f>
        <v/>
      </c>
      <c r="M82" s="5"/>
      <c r="N82" s="5"/>
      <c r="O82" s="24"/>
    </row>
    <row r="83" customFormat="false" ht="21.75" hidden="false" customHeight="true" outlineLevel="0" collapsed="false">
      <c r="A83" s="17"/>
      <c r="B83" s="11"/>
      <c r="C83" s="12"/>
      <c r="D83" s="18"/>
      <c r="E83" s="18"/>
      <c r="F83" s="18"/>
      <c r="G83" s="19" t="str">
        <f aca="false">IFERROR(F83/D83,"")</f>
        <v/>
      </c>
      <c r="H83" s="20" t="str">
        <f aca="false">IFERROR(C83/F83,"")</f>
        <v/>
      </c>
      <c r="I83" s="20" t="str">
        <f aca="false">IFERROR(C83/D83*1000,"")</f>
        <v/>
      </c>
      <c r="J83" s="11"/>
      <c r="K83" s="20" t="str">
        <f aca="false">IFERROR(C83/J83,"")</f>
        <v/>
      </c>
      <c r="L83" s="19" t="str">
        <f aca="false">IFERROR(J83/F83,"")</f>
        <v/>
      </c>
      <c r="M83" s="11"/>
      <c r="N83" s="11"/>
      <c r="O83" s="21"/>
    </row>
    <row r="84" customFormat="false" ht="21.75" hidden="false" customHeight="true" outlineLevel="0" collapsed="false">
      <c r="A84" s="22"/>
      <c r="B84" s="5"/>
      <c r="C84" s="7"/>
      <c r="D84" s="23"/>
      <c r="E84" s="23"/>
      <c r="F84" s="23"/>
      <c r="G84" s="19" t="str">
        <f aca="false">IFERROR(F84/D84,"")</f>
        <v/>
      </c>
      <c r="H84" s="20" t="str">
        <f aca="false">IFERROR(C84/F84,"")</f>
        <v/>
      </c>
      <c r="I84" s="20" t="str">
        <f aca="false">IFERROR(C84/D84*1000,"")</f>
        <v/>
      </c>
      <c r="J84" s="5"/>
      <c r="K84" s="20" t="str">
        <f aca="false">IFERROR(C84/J84,"")</f>
        <v/>
      </c>
      <c r="L84" s="19" t="str">
        <f aca="false">IFERROR(J84/F84,"")</f>
        <v/>
      </c>
      <c r="M84" s="5"/>
      <c r="N84" s="5"/>
      <c r="O84" s="24"/>
    </row>
    <row r="85" customFormat="false" ht="21.75" hidden="false" customHeight="true" outlineLevel="0" collapsed="false">
      <c r="A85" s="17"/>
      <c r="B85" s="11"/>
      <c r="C85" s="12"/>
      <c r="D85" s="18"/>
      <c r="E85" s="18"/>
      <c r="F85" s="18"/>
      <c r="G85" s="19" t="str">
        <f aca="false">IFERROR(F85/D85,"")</f>
        <v/>
      </c>
      <c r="H85" s="20" t="str">
        <f aca="false">IFERROR(C85/F85,"")</f>
        <v/>
      </c>
      <c r="I85" s="20" t="str">
        <f aca="false">IFERROR(C85/D85*1000,"")</f>
        <v/>
      </c>
      <c r="J85" s="11"/>
      <c r="K85" s="20" t="str">
        <f aca="false">IFERROR(C85/J85,"")</f>
        <v/>
      </c>
      <c r="L85" s="19" t="str">
        <f aca="false">IFERROR(J85/F85,"")</f>
        <v/>
      </c>
      <c r="M85" s="11"/>
      <c r="N85" s="11"/>
      <c r="O85" s="21"/>
    </row>
    <row r="86" customFormat="false" ht="21.75" hidden="false" customHeight="true" outlineLevel="0" collapsed="false">
      <c r="A86" s="22"/>
      <c r="B86" s="5"/>
      <c r="C86" s="7"/>
      <c r="D86" s="23"/>
      <c r="E86" s="23"/>
      <c r="F86" s="23"/>
      <c r="G86" s="19" t="str">
        <f aca="false">IFERROR(F86/D86,"")</f>
        <v/>
      </c>
      <c r="H86" s="20" t="str">
        <f aca="false">IFERROR(C86/F86,"")</f>
        <v/>
      </c>
      <c r="I86" s="20" t="str">
        <f aca="false">IFERROR(C86/D86*1000,"")</f>
        <v/>
      </c>
      <c r="J86" s="5"/>
      <c r="K86" s="20" t="str">
        <f aca="false">IFERROR(C86/J86,"")</f>
        <v/>
      </c>
      <c r="L86" s="19" t="str">
        <f aca="false">IFERROR(J86/F86,"")</f>
        <v/>
      </c>
      <c r="M86" s="5"/>
      <c r="N86" s="5"/>
      <c r="O86" s="24"/>
    </row>
    <row r="87" customFormat="false" ht="21.75" hidden="false" customHeight="true" outlineLevel="0" collapsed="false">
      <c r="A87" s="17"/>
      <c r="B87" s="11"/>
      <c r="C87" s="12"/>
      <c r="D87" s="18"/>
      <c r="E87" s="18"/>
      <c r="F87" s="18"/>
      <c r="G87" s="19" t="str">
        <f aca="false">IFERROR(F87/D87,"")</f>
        <v/>
      </c>
      <c r="H87" s="20" t="str">
        <f aca="false">IFERROR(C87/F87,"")</f>
        <v/>
      </c>
      <c r="I87" s="20" t="str">
        <f aca="false">IFERROR(C87/D87*1000,"")</f>
        <v/>
      </c>
      <c r="J87" s="11"/>
      <c r="K87" s="20" t="str">
        <f aca="false">IFERROR(C87/J87,"")</f>
        <v/>
      </c>
      <c r="L87" s="19" t="str">
        <f aca="false">IFERROR(J87/F87,"")</f>
        <v/>
      </c>
      <c r="M87" s="11"/>
      <c r="N87" s="11"/>
      <c r="O87" s="21"/>
    </row>
    <row r="88" customFormat="false" ht="21.75" hidden="false" customHeight="true" outlineLevel="0" collapsed="false">
      <c r="A88" s="22"/>
      <c r="B88" s="5"/>
      <c r="C88" s="7"/>
      <c r="D88" s="23"/>
      <c r="E88" s="23"/>
      <c r="F88" s="23"/>
      <c r="G88" s="19" t="str">
        <f aca="false">IFERROR(F88/D88,"")</f>
        <v/>
      </c>
      <c r="H88" s="20" t="str">
        <f aca="false">IFERROR(C88/F88,"")</f>
        <v/>
      </c>
      <c r="I88" s="20" t="str">
        <f aca="false">IFERROR(C88/D88*1000,"")</f>
        <v/>
      </c>
      <c r="J88" s="5"/>
      <c r="K88" s="20" t="str">
        <f aca="false">IFERROR(C88/J88,"")</f>
        <v/>
      </c>
      <c r="L88" s="19" t="str">
        <f aca="false">IFERROR(J88/F88,"")</f>
        <v/>
      </c>
      <c r="M88" s="5"/>
      <c r="N88" s="5"/>
      <c r="O88" s="24"/>
    </row>
    <row r="89" customFormat="false" ht="21.75" hidden="false" customHeight="true" outlineLevel="0" collapsed="false">
      <c r="A89" s="17"/>
      <c r="B89" s="11"/>
      <c r="C89" s="12"/>
      <c r="D89" s="18"/>
      <c r="E89" s="18"/>
      <c r="F89" s="18"/>
      <c r="G89" s="19" t="str">
        <f aca="false">IFERROR(F89/D89,"")</f>
        <v/>
      </c>
      <c r="H89" s="20" t="str">
        <f aca="false">IFERROR(C89/F89,"")</f>
        <v/>
      </c>
      <c r="I89" s="20" t="str">
        <f aca="false">IFERROR(C89/D89*1000,"")</f>
        <v/>
      </c>
      <c r="J89" s="11"/>
      <c r="K89" s="20" t="str">
        <f aca="false">IFERROR(C89/J89,"")</f>
        <v/>
      </c>
      <c r="L89" s="19" t="str">
        <f aca="false">IFERROR(J89/F89,"")</f>
        <v/>
      </c>
      <c r="M89" s="11"/>
      <c r="N89" s="11"/>
      <c r="O89" s="21"/>
    </row>
    <row r="90" customFormat="false" ht="21.75" hidden="false" customHeight="true" outlineLevel="0" collapsed="false">
      <c r="A90" s="22"/>
      <c r="B90" s="5"/>
      <c r="C90" s="7"/>
      <c r="D90" s="23"/>
      <c r="E90" s="23"/>
      <c r="F90" s="23"/>
      <c r="G90" s="19" t="str">
        <f aca="false">IFERROR(F90/D90,"")</f>
        <v/>
      </c>
      <c r="H90" s="20" t="str">
        <f aca="false">IFERROR(C90/F90,"")</f>
        <v/>
      </c>
      <c r="I90" s="20" t="str">
        <f aca="false">IFERROR(C90/D90*1000,"")</f>
        <v/>
      </c>
      <c r="J90" s="5"/>
      <c r="K90" s="20" t="str">
        <f aca="false">IFERROR(C90/J90,"")</f>
        <v/>
      </c>
      <c r="L90" s="19" t="str">
        <f aca="false">IFERROR(J90/F90,"")</f>
        <v/>
      </c>
      <c r="M90" s="5"/>
      <c r="N90" s="5"/>
      <c r="O90" s="24"/>
    </row>
    <row r="91" customFormat="false" ht="21.75" hidden="false" customHeight="true" outlineLevel="0" collapsed="false">
      <c r="A91" s="17"/>
      <c r="B91" s="11"/>
      <c r="C91" s="12"/>
      <c r="D91" s="18"/>
      <c r="E91" s="18"/>
      <c r="F91" s="18"/>
      <c r="G91" s="19" t="str">
        <f aca="false">IFERROR(F91/D91,"")</f>
        <v/>
      </c>
      <c r="H91" s="20" t="str">
        <f aca="false">IFERROR(C91/F91,"")</f>
        <v/>
      </c>
      <c r="I91" s="20" t="str">
        <f aca="false">IFERROR(C91/D91*1000,"")</f>
        <v/>
      </c>
      <c r="J91" s="11"/>
      <c r="K91" s="20" t="str">
        <f aca="false">IFERROR(C91/J91,"")</f>
        <v/>
      </c>
      <c r="L91" s="19" t="str">
        <f aca="false">IFERROR(J91/F91,"")</f>
        <v/>
      </c>
      <c r="M91" s="11"/>
      <c r="N91" s="11"/>
      <c r="O91" s="21"/>
    </row>
    <row r="92" customFormat="false" ht="21.75" hidden="false" customHeight="true" outlineLevel="0" collapsed="false">
      <c r="A92" s="22"/>
      <c r="B92" s="5"/>
      <c r="C92" s="7"/>
      <c r="D92" s="23"/>
      <c r="E92" s="23"/>
      <c r="F92" s="23"/>
      <c r="G92" s="19" t="str">
        <f aca="false">IFERROR(F92/D92,"")</f>
        <v/>
      </c>
      <c r="H92" s="20" t="str">
        <f aca="false">IFERROR(C92/F92,"")</f>
        <v/>
      </c>
      <c r="I92" s="20" t="str">
        <f aca="false">IFERROR(C92/D92*1000,"")</f>
        <v/>
      </c>
      <c r="J92" s="5"/>
      <c r="K92" s="20" t="str">
        <f aca="false">IFERROR(C92/J92,"")</f>
        <v/>
      </c>
      <c r="L92" s="19" t="str">
        <f aca="false">IFERROR(J92/F92,"")</f>
        <v/>
      </c>
      <c r="M92" s="5"/>
      <c r="N92" s="5"/>
      <c r="O92" s="24"/>
    </row>
    <row r="93" customFormat="false" ht="21.75" hidden="false" customHeight="true" outlineLevel="0" collapsed="false">
      <c r="A93" s="17"/>
      <c r="B93" s="11"/>
      <c r="C93" s="12"/>
      <c r="D93" s="18"/>
      <c r="E93" s="18"/>
      <c r="F93" s="18"/>
      <c r="G93" s="19" t="str">
        <f aca="false">IFERROR(F93/D93,"")</f>
        <v/>
      </c>
      <c r="H93" s="20" t="str">
        <f aca="false">IFERROR(C93/F93,"")</f>
        <v/>
      </c>
      <c r="I93" s="20" t="str">
        <f aca="false">IFERROR(C93/D93*1000,"")</f>
        <v/>
      </c>
      <c r="J93" s="11"/>
      <c r="K93" s="20" t="str">
        <f aca="false">IFERROR(C93/J93,"")</f>
        <v/>
      </c>
      <c r="L93" s="19" t="str">
        <f aca="false">IFERROR(J93/F93,"")</f>
        <v/>
      </c>
      <c r="M93" s="11"/>
      <c r="N93" s="11"/>
      <c r="O93" s="21"/>
    </row>
    <row r="94" customFormat="false" ht="21.75" hidden="false" customHeight="true" outlineLevel="0" collapsed="false">
      <c r="A94" s="22"/>
      <c r="B94" s="5"/>
      <c r="C94" s="7"/>
      <c r="D94" s="23"/>
      <c r="E94" s="23"/>
      <c r="F94" s="23"/>
      <c r="G94" s="19" t="str">
        <f aca="false">IFERROR(F94/D94,"")</f>
        <v/>
      </c>
      <c r="H94" s="20" t="str">
        <f aca="false">IFERROR(C94/F94,"")</f>
        <v/>
      </c>
      <c r="I94" s="20" t="str">
        <f aca="false">IFERROR(C94/D94*1000,"")</f>
        <v/>
      </c>
      <c r="J94" s="5"/>
      <c r="K94" s="20" t="str">
        <f aca="false">IFERROR(C94/J94,"")</f>
        <v/>
      </c>
      <c r="L94" s="19" t="str">
        <f aca="false">IFERROR(J94/F94,"")</f>
        <v/>
      </c>
      <c r="M94" s="5"/>
      <c r="N94" s="5"/>
      <c r="O94" s="24"/>
    </row>
    <row r="95" customFormat="false" ht="21.75" hidden="false" customHeight="true" outlineLevel="0" collapsed="false">
      <c r="A95" s="17"/>
      <c r="B95" s="11"/>
      <c r="C95" s="12"/>
      <c r="D95" s="18"/>
      <c r="E95" s="18"/>
      <c r="F95" s="18"/>
      <c r="G95" s="19" t="str">
        <f aca="false">IFERROR(F95/D95,"")</f>
        <v/>
      </c>
      <c r="H95" s="20" t="str">
        <f aca="false">IFERROR(C95/F95,"")</f>
        <v/>
      </c>
      <c r="I95" s="20" t="str">
        <f aca="false">IFERROR(C95/D95*1000,"")</f>
        <v/>
      </c>
      <c r="J95" s="11"/>
      <c r="K95" s="20" t="str">
        <f aca="false">IFERROR(C95/J95,"")</f>
        <v/>
      </c>
      <c r="L95" s="19" t="str">
        <f aca="false">IFERROR(J95/F95,"")</f>
        <v/>
      </c>
      <c r="M95" s="11"/>
      <c r="N95" s="11"/>
      <c r="O95" s="21"/>
    </row>
    <row r="96" customFormat="false" ht="21.75" hidden="false" customHeight="true" outlineLevel="0" collapsed="false">
      <c r="A96" s="22"/>
      <c r="B96" s="5"/>
      <c r="C96" s="7"/>
      <c r="D96" s="23"/>
      <c r="E96" s="23"/>
      <c r="F96" s="23"/>
      <c r="G96" s="19" t="str">
        <f aca="false">IFERROR(F96/D96,"")</f>
        <v/>
      </c>
      <c r="H96" s="20" t="str">
        <f aca="false">IFERROR(C96/F96,"")</f>
        <v/>
      </c>
      <c r="I96" s="20" t="str">
        <f aca="false">IFERROR(C96/D96*1000,"")</f>
        <v/>
      </c>
      <c r="J96" s="5"/>
      <c r="K96" s="20" t="str">
        <f aca="false">IFERROR(C96/J96,"")</f>
        <v/>
      </c>
      <c r="L96" s="19" t="str">
        <f aca="false">IFERROR(J96/F96,"")</f>
        <v/>
      </c>
      <c r="M96" s="5"/>
      <c r="N96" s="5"/>
      <c r="O96" s="24"/>
    </row>
    <row r="97" customFormat="false" ht="21.75" hidden="false" customHeight="true" outlineLevel="0" collapsed="false">
      <c r="A97" s="17"/>
      <c r="B97" s="11"/>
      <c r="C97" s="12"/>
      <c r="D97" s="18"/>
      <c r="E97" s="18"/>
      <c r="F97" s="18"/>
      <c r="G97" s="19" t="str">
        <f aca="false">IFERROR(F97/D97,"")</f>
        <v/>
      </c>
      <c r="H97" s="20" t="str">
        <f aca="false">IFERROR(C97/F97,"")</f>
        <v/>
      </c>
      <c r="I97" s="20" t="str">
        <f aca="false">IFERROR(C97/D97*1000,"")</f>
        <v/>
      </c>
      <c r="J97" s="11"/>
      <c r="K97" s="20" t="str">
        <f aca="false">IFERROR(C97/J97,"")</f>
        <v/>
      </c>
      <c r="L97" s="19" t="str">
        <f aca="false">IFERROR(J97/F97,"")</f>
        <v/>
      </c>
      <c r="M97" s="11"/>
      <c r="N97" s="11"/>
      <c r="O97" s="21"/>
    </row>
    <row r="98" customFormat="false" ht="21.75" hidden="false" customHeight="true" outlineLevel="0" collapsed="false">
      <c r="A98" s="22"/>
      <c r="B98" s="5"/>
      <c r="C98" s="7"/>
      <c r="D98" s="23"/>
      <c r="E98" s="23"/>
      <c r="F98" s="23"/>
      <c r="G98" s="19" t="str">
        <f aca="false">IFERROR(F98/D98,"")</f>
        <v/>
      </c>
      <c r="H98" s="20" t="str">
        <f aca="false">IFERROR(C98/F98,"")</f>
        <v/>
      </c>
      <c r="I98" s="20" t="str">
        <f aca="false">IFERROR(C98/D98*1000,"")</f>
        <v/>
      </c>
      <c r="J98" s="5"/>
      <c r="K98" s="20" t="str">
        <f aca="false">IFERROR(C98/J98,"")</f>
        <v/>
      </c>
      <c r="L98" s="19" t="str">
        <f aca="false">IFERROR(J98/F98,"")</f>
        <v/>
      </c>
      <c r="M98" s="5"/>
      <c r="N98" s="5"/>
      <c r="O98" s="24"/>
    </row>
    <row r="99" customFormat="false" ht="21.75" hidden="false" customHeight="true" outlineLevel="0" collapsed="false">
      <c r="A99" s="17"/>
      <c r="B99" s="11"/>
      <c r="C99" s="12"/>
      <c r="D99" s="18"/>
      <c r="E99" s="18"/>
      <c r="F99" s="18"/>
      <c r="G99" s="19" t="str">
        <f aca="false">IFERROR(F99/D99,"")</f>
        <v/>
      </c>
      <c r="H99" s="20" t="str">
        <f aca="false">IFERROR(C99/F99,"")</f>
        <v/>
      </c>
      <c r="I99" s="20" t="str">
        <f aca="false">IFERROR(C99/D99*1000,"")</f>
        <v/>
      </c>
      <c r="J99" s="11"/>
      <c r="K99" s="20" t="str">
        <f aca="false">IFERROR(C99/J99,"")</f>
        <v/>
      </c>
      <c r="L99" s="19" t="str">
        <f aca="false">IFERROR(J99/F99,"")</f>
        <v/>
      </c>
      <c r="M99" s="11"/>
      <c r="N99" s="11"/>
      <c r="O99" s="21"/>
    </row>
    <row r="100" customFormat="false" ht="21.75" hidden="false" customHeight="true" outlineLevel="0" collapsed="false">
      <c r="A100" s="22"/>
      <c r="B100" s="5"/>
      <c r="C100" s="7"/>
      <c r="D100" s="23"/>
      <c r="E100" s="23"/>
      <c r="F100" s="23"/>
      <c r="G100" s="19" t="str">
        <f aca="false">IFERROR(F100/D100,"")</f>
        <v/>
      </c>
      <c r="H100" s="20" t="str">
        <f aca="false">IFERROR(C100/F100,"")</f>
        <v/>
      </c>
      <c r="I100" s="20" t="str">
        <f aca="false">IFERROR(C100/D100*1000,"")</f>
        <v/>
      </c>
      <c r="J100" s="5"/>
      <c r="K100" s="20" t="str">
        <f aca="false">IFERROR(C100/J100,"")</f>
        <v/>
      </c>
      <c r="L100" s="19" t="str">
        <f aca="false">IFERROR(J100/F100,"")</f>
        <v/>
      </c>
      <c r="M100" s="5"/>
      <c r="N100" s="5"/>
      <c r="O100" s="24"/>
    </row>
    <row r="101" customFormat="false" ht="21.75" hidden="false" customHeight="true" outlineLevel="0" collapsed="false">
      <c r="A101" s="17"/>
      <c r="B101" s="11"/>
      <c r="C101" s="12"/>
      <c r="D101" s="18"/>
      <c r="E101" s="18"/>
      <c r="F101" s="18"/>
      <c r="G101" s="19" t="str">
        <f aca="false">IFERROR(F101/D101,"")</f>
        <v/>
      </c>
      <c r="H101" s="20" t="str">
        <f aca="false">IFERROR(C101/F101,"")</f>
        <v/>
      </c>
      <c r="I101" s="20" t="str">
        <f aca="false">IFERROR(C101/D101*1000,"")</f>
        <v/>
      </c>
      <c r="J101" s="11"/>
      <c r="K101" s="20" t="str">
        <f aca="false">IFERROR(C101/J101,"")</f>
        <v/>
      </c>
      <c r="L101" s="19" t="str">
        <f aca="false">IFERROR(J101/F101,"")</f>
        <v/>
      </c>
      <c r="M101" s="11"/>
      <c r="N101" s="11"/>
      <c r="O101" s="21"/>
    </row>
    <row r="102" customFormat="false" ht="21.75" hidden="false" customHeight="true" outlineLevel="0" collapsed="false">
      <c r="A102" s="22"/>
      <c r="B102" s="5"/>
      <c r="C102" s="7"/>
      <c r="D102" s="23"/>
      <c r="E102" s="23"/>
      <c r="F102" s="23"/>
      <c r="G102" s="19" t="str">
        <f aca="false">IFERROR(F102/D102,"")</f>
        <v/>
      </c>
      <c r="H102" s="20" t="str">
        <f aca="false">IFERROR(C102/F102,"")</f>
        <v/>
      </c>
      <c r="I102" s="20" t="str">
        <f aca="false">IFERROR(C102/D102*1000,"")</f>
        <v/>
      </c>
      <c r="J102" s="5"/>
      <c r="K102" s="20" t="str">
        <f aca="false">IFERROR(C102/J102,"")</f>
        <v/>
      </c>
      <c r="L102" s="19" t="str">
        <f aca="false">IFERROR(J102/F102,"")</f>
        <v/>
      </c>
      <c r="M102" s="5"/>
      <c r="N102" s="5"/>
      <c r="O102" s="24"/>
    </row>
    <row r="103" customFormat="false" ht="21.75" hidden="false" customHeight="true" outlineLevel="0" collapsed="false">
      <c r="A103" s="17"/>
      <c r="B103" s="11"/>
      <c r="C103" s="12"/>
      <c r="D103" s="18"/>
      <c r="E103" s="18"/>
      <c r="F103" s="18"/>
      <c r="G103" s="19" t="str">
        <f aca="false">IFERROR(F103/D103,"")</f>
        <v/>
      </c>
      <c r="H103" s="20" t="str">
        <f aca="false">IFERROR(C103/F103,"")</f>
        <v/>
      </c>
      <c r="I103" s="20" t="str">
        <f aca="false">IFERROR(C103/D103*1000,"")</f>
        <v/>
      </c>
      <c r="J103" s="11"/>
      <c r="K103" s="20" t="str">
        <f aca="false">IFERROR(C103/J103,"")</f>
        <v/>
      </c>
      <c r="L103" s="19" t="str">
        <f aca="false">IFERROR(J103/F103,"")</f>
        <v/>
      </c>
      <c r="M103" s="11"/>
      <c r="N103" s="11"/>
      <c r="O103" s="21"/>
    </row>
    <row r="104" customFormat="false" ht="21.75" hidden="false" customHeight="true" outlineLevel="0" collapsed="false">
      <c r="A104" s="22"/>
      <c r="B104" s="5"/>
      <c r="C104" s="7"/>
      <c r="D104" s="23"/>
      <c r="E104" s="23"/>
      <c r="F104" s="23"/>
      <c r="G104" s="19" t="str">
        <f aca="false">IFERROR(F104/D104,"")</f>
        <v/>
      </c>
      <c r="H104" s="20" t="str">
        <f aca="false">IFERROR(C104/F104,"")</f>
        <v/>
      </c>
      <c r="I104" s="20" t="str">
        <f aca="false">IFERROR(C104/D104*1000,"")</f>
        <v/>
      </c>
      <c r="J104" s="5"/>
      <c r="K104" s="20" t="str">
        <f aca="false">IFERROR(C104/J104,"")</f>
        <v/>
      </c>
      <c r="L104" s="19" t="str">
        <f aca="false">IFERROR(J104/F104,"")</f>
        <v/>
      </c>
      <c r="M104" s="5"/>
      <c r="N104" s="5"/>
      <c r="O104" s="24"/>
    </row>
    <row r="105" customFormat="false" ht="21.75" hidden="false" customHeight="true" outlineLevel="0" collapsed="false">
      <c r="A105" s="17"/>
      <c r="B105" s="11"/>
      <c r="C105" s="12"/>
      <c r="D105" s="18"/>
      <c r="E105" s="18"/>
      <c r="F105" s="18"/>
      <c r="G105" s="19" t="str">
        <f aca="false">IFERROR(F105/D105,"")</f>
        <v/>
      </c>
      <c r="H105" s="20" t="str">
        <f aca="false">IFERROR(C105/F105,"")</f>
        <v/>
      </c>
      <c r="I105" s="20" t="str">
        <f aca="false">IFERROR(C105/D105*1000,"")</f>
        <v/>
      </c>
      <c r="J105" s="11"/>
      <c r="K105" s="20" t="str">
        <f aca="false">IFERROR(C105/J105,"")</f>
        <v/>
      </c>
      <c r="L105" s="19" t="str">
        <f aca="false">IFERROR(J105/F105,"")</f>
        <v/>
      </c>
      <c r="M105" s="11"/>
      <c r="N105" s="11"/>
      <c r="O105" s="21"/>
    </row>
    <row r="106" customFormat="false" ht="21.75" hidden="false" customHeight="true" outlineLevel="0" collapsed="false">
      <c r="A106" s="22"/>
      <c r="B106" s="5"/>
      <c r="C106" s="7"/>
      <c r="D106" s="23"/>
      <c r="E106" s="23"/>
      <c r="F106" s="23"/>
      <c r="G106" s="19" t="str">
        <f aca="false">IFERROR(F106/D106,"")</f>
        <v/>
      </c>
      <c r="H106" s="20" t="str">
        <f aca="false">IFERROR(C106/F106,"")</f>
        <v/>
      </c>
      <c r="I106" s="20" t="str">
        <f aca="false">IFERROR(C106/D106*1000,"")</f>
        <v/>
      </c>
      <c r="J106" s="5"/>
      <c r="K106" s="20" t="str">
        <f aca="false">IFERROR(C106/J106,"")</f>
        <v/>
      </c>
      <c r="L106" s="19" t="str">
        <f aca="false">IFERROR(J106/F106,"")</f>
        <v/>
      </c>
      <c r="M106" s="5"/>
      <c r="N106" s="5"/>
      <c r="O106" s="24"/>
    </row>
    <row r="107" customFormat="false" ht="21.75" hidden="false" customHeight="true" outlineLevel="0" collapsed="false">
      <c r="A107" s="17"/>
      <c r="B107" s="11"/>
      <c r="C107" s="12"/>
      <c r="D107" s="18"/>
      <c r="E107" s="18"/>
      <c r="F107" s="18"/>
      <c r="G107" s="19" t="str">
        <f aca="false">IFERROR(F107/D107,"")</f>
        <v/>
      </c>
      <c r="H107" s="20" t="str">
        <f aca="false">IFERROR(C107/F107,"")</f>
        <v/>
      </c>
      <c r="I107" s="20" t="str">
        <f aca="false">IFERROR(C107/D107*1000,"")</f>
        <v/>
      </c>
      <c r="J107" s="11"/>
      <c r="K107" s="20" t="str">
        <f aca="false">IFERROR(C107/J107,"")</f>
        <v/>
      </c>
      <c r="L107" s="19" t="str">
        <f aca="false">IFERROR(J107/F107,"")</f>
        <v/>
      </c>
      <c r="M107" s="11"/>
      <c r="N107" s="11"/>
      <c r="O107" s="21"/>
    </row>
    <row r="108" customFormat="false" ht="21.75" hidden="false" customHeight="true" outlineLevel="0" collapsed="false">
      <c r="A108" s="22"/>
      <c r="B108" s="5"/>
      <c r="C108" s="7"/>
      <c r="D108" s="23"/>
      <c r="E108" s="23"/>
      <c r="F108" s="23"/>
      <c r="G108" s="19" t="str">
        <f aca="false">IFERROR(F108/D108,"")</f>
        <v/>
      </c>
      <c r="H108" s="20" t="str">
        <f aca="false">IFERROR(C108/F108,"")</f>
        <v/>
      </c>
      <c r="I108" s="20" t="str">
        <f aca="false">IFERROR(C108/D108*1000,"")</f>
        <v/>
      </c>
      <c r="J108" s="5"/>
      <c r="K108" s="20" t="str">
        <f aca="false">IFERROR(C108/J108,"")</f>
        <v/>
      </c>
      <c r="L108" s="19" t="str">
        <f aca="false">IFERROR(J108/F108,"")</f>
        <v/>
      </c>
      <c r="M108" s="5"/>
      <c r="N108" s="5"/>
      <c r="O108" s="24"/>
    </row>
    <row r="109" customFormat="false" ht="21.75" hidden="false" customHeight="true" outlineLevel="0" collapsed="false">
      <c r="A109" s="17"/>
      <c r="B109" s="11"/>
      <c r="C109" s="12"/>
      <c r="D109" s="18"/>
      <c r="E109" s="18"/>
      <c r="F109" s="18"/>
      <c r="G109" s="19" t="str">
        <f aca="false">IFERROR(F109/D109,"")</f>
        <v/>
      </c>
      <c r="H109" s="20" t="str">
        <f aca="false">IFERROR(C109/F109,"")</f>
        <v/>
      </c>
      <c r="I109" s="20" t="str">
        <f aca="false">IFERROR(C109/D109*1000,"")</f>
        <v/>
      </c>
      <c r="J109" s="11"/>
      <c r="K109" s="20" t="str">
        <f aca="false">IFERROR(C109/J109,"")</f>
        <v/>
      </c>
      <c r="L109" s="19" t="str">
        <f aca="false">IFERROR(J109/F109,"")</f>
        <v/>
      </c>
      <c r="M109" s="11"/>
      <c r="N109" s="11"/>
      <c r="O109" s="21"/>
    </row>
    <row r="110" customFormat="false" ht="21.75" hidden="false" customHeight="true" outlineLevel="0" collapsed="false">
      <c r="A110" s="22"/>
      <c r="B110" s="5"/>
      <c r="C110" s="7"/>
      <c r="D110" s="23"/>
      <c r="E110" s="23"/>
      <c r="F110" s="23"/>
      <c r="G110" s="19" t="str">
        <f aca="false">IFERROR(F110/D110,"")</f>
        <v/>
      </c>
      <c r="H110" s="20" t="str">
        <f aca="false">IFERROR(C110/F110,"")</f>
        <v/>
      </c>
      <c r="I110" s="20" t="str">
        <f aca="false">IFERROR(C110/D110*1000,"")</f>
        <v/>
      </c>
      <c r="J110" s="5"/>
      <c r="K110" s="20" t="str">
        <f aca="false">IFERROR(C110/J110,"")</f>
        <v/>
      </c>
      <c r="L110" s="19" t="str">
        <f aca="false">IFERROR(J110/F110,"")</f>
        <v/>
      </c>
      <c r="M110" s="5"/>
      <c r="N110" s="5"/>
      <c r="O110" s="24"/>
    </row>
    <row r="111" customFormat="false" ht="21.75" hidden="false" customHeight="true" outlineLevel="0" collapsed="false">
      <c r="A111" s="17"/>
      <c r="B111" s="11"/>
      <c r="C111" s="12"/>
      <c r="D111" s="18"/>
      <c r="E111" s="18"/>
      <c r="F111" s="18"/>
      <c r="G111" s="19" t="str">
        <f aca="false">IFERROR(F111/D111,"")</f>
        <v/>
      </c>
      <c r="H111" s="20" t="str">
        <f aca="false">IFERROR(C111/F111,"")</f>
        <v/>
      </c>
      <c r="I111" s="20" t="str">
        <f aca="false">IFERROR(C111/D111*1000,"")</f>
        <v/>
      </c>
      <c r="J111" s="11"/>
      <c r="K111" s="20" t="str">
        <f aca="false">IFERROR(C111/J111,"")</f>
        <v/>
      </c>
      <c r="L111" s="19" t="str">
        <f aca="false">IFERROR(J111/F111,"")</f>
        <v/>
      </c>
      <c r="M111" s="11"/>
      <c r="N111" s="11"/>
      <c r="O111" s="21"/>
    </row>
    <row r="112" customFormat="false" ht="21.75" hidden="false" customHeight="true" outlineLevel="0" collapsed="false">
      <c r="A112" s="22"/>
      <c r="B112" s="5"/>
      <c r="C112" s="7"/>
      <c r="D112" s="23"/>
      <c r="E112" s="23"/>
      <c r="F112" s="23"/>
      <c r="G112" s="19" t="str">
        <f aca="false">IFERROR(F112/D112,"")</f>
        <v/>
      </c>
      <c r="H112" s="20" t="str">
        <f aca="false">IFERROR(C112/F112,"")</f>
        <v/>
      </c>
      <c r="I112" s="20" t="str">
        <f aca="false">IFERROR(C112/D112*1000,"")</f>
        <v/>
      </c>
      <c r="J112" s="5"/>
      <c r="K112" s="20" t="str">
        <f aca="false">IFERROR(C112/J112,"")</f>
        <v/>
      </c>
      <c r="L112" s="19" t="str">
        <f aca="false">IFERROR(J112/F112,"")</f>
        <v/>
      </c>
      <c r="M112" s="5"/>
      <c r="N112" s="5"/>
      <c r="O112" s="24"/>
    </row>
    <row r="113" customFormat="false" ht="21.75" hidden="false" customHeight="true" outlineLevel="0" collapsed="false">
      <c r="A113" s="17"/>
      <c r="B113" s="11"/>
      <c r="C113" s="12"/>
      <c r="D113" s="18"/>
      <c r="E113" s="18"/>
      <c r="F113" s="18"/>
      <c r="G113" s="19" t="str">
        <f aca="false">IFERROR(F113/D113,"")</f>
        <v/>
      </c>
      <c r="H113" s="20" t="str">
        <f aca="false">IFERROR(C113/F113,"")</f>
        <v/>
      </c>
      <c r="I113" s="20" t="str">
        <f aca="false">IFERROR(C113/D113*1000,"")</f>
        <v/>
      </c>
      <c r="J113" s="11"/>
      <c r="K113" s="20" t="str">
        <f aca="false">IFERROR(C113/J113,"")</f>
        <v/>
      </c>
      <c r="L113" s="19" t="str">
        <f aca="false">IFERROR(J113/F113,"")</f>
        <v/>
      </c>
      <c r="M113" s="11"/>
      <c r="N113" s="11"/>
      <c r="O113" s="21"/>
    </row>
    <row r="114" customFormat="false" ht="21.75" hidden="false" customHeight="true" outlineLevel="0" collapsed="false">
      <c r="A114" s="22"/>
      <c r="B114" s="5"/>
      <c r="C114" s="7"/>
      <c r="D114" s="23"/>
      <c r="E114" s="23"/>
      <c r="F114" s="23"/>
      <c r="G114" s="19" t="str">
        <f aca="false">IFERROR(F114/D114,"")</f>
        <v/>
      </c>
      <c r="H114" s="20" t="str">
        <f aca="false">IFERROR(C114/F114,"")</f>
        <v/>
      </c>
      <c r="I114" s="20" t="str">
        <f aca="false">IFERROR(C114/D114*1000,"")</f>
        <v/>
      </c>
      <c r="J114" s="5"/>
      <c r="K114" s="20" t="str">
        <f aca="false">IFERROR(C114/J114,"")</f>
        <v/>
      </c>
      <c r="L114" s="19" t="str">
        <f aca="false">IFERROR(J114/F114,"")</f>
        <v/>
      </c>
      <c r="M114" s="5"/>
      <c r="N114" s="5"/>
      <c r="O114" s="24"/>
    </row>
    <row r="115" customFormat="false" ht="21.75" hidden="false" customHeight="true" outlineLevel="0" collapsed="false">
      <c r="A115" s="17"/>
      <c r="B115" s="11"/>
      <c r="C115" s="12"/>
      <c r="D115" s="18"/>
      <c r="E115" s="18"/>
      <c r="F115" s="18"/>
      <c r="G115" s="19" t="str">
        <f aca="false">IFERROR(F115/D115,"")</f>
        <v/>
      </c>
      <c r="H115" s="20" t="str">
        <f aca="false">IFERROR(C115/F115,"")</f>
        <v/>
      </c>
      <c r="I115" s="20" t="str">
        <f aca="false">IFERROR(C115/D115*1000,"")</f>
        <v/>
      </c>
      <c r="J115" s="11"/>
      <c r="K115" s="20" t="str">
        <f aca="false">IFERROR(C115/J115,"")</f>
        <v/>
      </c>
      <c r="L115" s="19" t="str">
        <f aca="false">IFERROR(J115/F115,"")</f>
        <v/>
      </c>
      <c r="M115" s="11"/>
      <c r="N115" s="11"/>
      <c r="O115" s="21"/>
    </row>
    <row r="116" customFormat="false" ht="21.75" hidden="false" customHeight="true" outlineLevel="0" collapsed="false">
      <c r="A116" s="22"/>
      <c r="B116" s="5"/>
      <c r="C116" s="7"/>
      <c r="D116" s="23"/>
      <c r="E116" s="23"/>
      <c r="F116" s="23"/>
      <c r="G116" s="19" t="str">
        <f aca="false">IFERROR(F116/D116,"")</f>
        <v/>
      </c>
      <c r="H116" s="20" t="str">
        <f aca="false">IFERROR(C116/F116,"")</f>
        <v/>
      </c>
      <c r="I116" s="20" t="str">
        <f aca="false">IFERROR(C116/D116*1000,"")</f>
        <v/>
      </c>
      <c r="J116" s="5"/>
      <c r="K116" s="20" t="str">
        <f aca="false">IFERROR(C116/J116,"")</f>
        <v/>
      </c>
      <c r="L116" s="19" t="str">
        <f aca="false">IFERROR(J116/F116,"")</f>
        <v/>
      </c>
      <c r="M116" s="5"/>
      <c r="N116" s="5"/>
      <c r="O116" s="24"/>
    </row>
    <row r="117" customFormat="false" ht="21.75" hidden="false" customHeight="true" outlineLevel="0" collapsed="false">
      <c r="A117" s="17"/>
      <c r="B117" s="11"/>
      <c r="C117" s="12"/>
      <c r="D117" s="18"/>
      <c r="E117" s="18"/>
      <c r="F117" s="18"/>
      <c r="G117" s="19" t="str">
        <f aca="false">IFERROR(F117/D117,"")</f>
        <v/>
      </c>
      <c r="H117" s="20" t="str">
        <f aca="false">IFERROR(C117/F117,"")</f>
        <v/>
      </c>
      <c r="I117" s="20" t="str">
        <f aca="false">IFERROR(C117/D117*1000,"")</f>
        <v/>
      </c>
      <c r="J117" s="11"/>
      <c r="K117" s="20" t="str">
        <f aca="false">IFERROR(C117/J117,"")</f>
        <v/>
      </c>
      <c r="L117" s="19" t="str">
        <f aca="false">IFERROR(J117/F117,"")</f>
        <v/>
      </c>
      <c r="M117" s="11"/>
      <c r="N117" s="11"/>
      <c r="O117" s="21"/>
    </row>
    <row r="118" customFormat="false" ht="21.75" hidden="false" customHeight="true" outlineLevel="0" collapsed="false">
      <c r="A118" s="22"/>
      <c r="B118" s="5"/>
      <c r="C118" s="7"/>
      <c r="D118" s="23"/>
      <c r="E118" s="23"/>
      <c r="F118" s="23"/>
      <c r="G118" s="19" t="str">
        <f aca="false">IFERROR(F118/D118,"")</f>
        <v/>
      </c>
      <c r="H118" s="20" t="str">
        <f aca="false">IFERROR(C118/F118,"")</f>
        <v/>
      </c>
      <c r="I118" s="20" t="str">
        <f aca="false">IFERROR(C118/D118*1000,"")</f>
        <v/>
      </c>
      <c r="J118" s="5"/>
      <c r="K118" s="20" t="str">
        <f aca="false">IFERROR(C118/J118,"")</f>
        <v/>
      </c>
      <c r="L118" s="19" t="str">
        <f aca="false">IFERROR(J118/F118,"")</f>
        <v/>
      </c>
      <c r="M118" s="5"/>
      <c r="N118" s="5"/>
      <c r="O118" s="24"/>
    </row>
    <row r="119" customFormat="false" ht="21.75" hidden="false" customHeight="true" outlineLevel="0" collapsed="false">
      <c r="A119" s="17"/>
      <c r="B119" s="11"/>
      <c r="C119" s="12"/>
      <c r="D119" s="18"/>
      <c r="E119" s="18"/>
      <c r="F119" s="18"/>
      <c r="G119" s="19" t="str">
        <f aca="false">IFERROR(F119/D119,"")</f>
        <v/>
      </c>
      <c r="H119" s="20" t="str">
        <f aca="false">IFERROR(C119/F119,"")</f>
        <v/>
      </c>
      <c r="I119" s="20" t="str">
        <f aca="false">IFERROR(C119/D119*1000,"")</f>
        <v/>
      </c>
      <c r="J119" s="11"/>
      <c r="K119" s="20" t="str">
        <f aca="false">IFERROR(C119/J119,"")</f>
        <v/>
      </c>
      <c r="L119" s="19" t="str">
        <f aca="false">IFERROR(J119/F119,"")</f>
        <v/>
      </c>
      <c r="M119" s="11"/>
      <c r="N119" s="11"/>
      <c r="O119" s="21"/>
    </row>
    <row r="120" customFormat="false" ht="21.75" hidden="false" customHeight="true" outlineLevel="0" collapsed="false">
      <c r="A120" s="22"/>
      <c r="B120" s="5"/>
      <c r="C120" s="7"/>
      <c r="D120" s="23"/>
      <c r="E120" s="23"/>
      <c r="F120" s="23"/>
      <c r="G120" s="19" t="str">
        <f aca="false">IFERROR(F120/D120,"")</f>
        <v/>
      </c>
      <c r="H120" s="20" t="str">
        <f aca="false">IFERROR(C120/F120,"")</f>
        <v/>
      </c>
      <c r="I120" s="20" t="str">
        <f aca="false">IFERROR(C120/D120*1000,"")</f>
        <v/>
      </c>
      <c r="J120" s="5"/>
      <c r="K120" s="20" t="str">
        <f aca="false">IFERROR(C120/J120,"")</f>
        <v/>
      </c>
      <c r="L120" s="19" t="str">
        <f aca="false">IFERROR(J120/F120,"")</f>
        <v/>
      </c>
      <c r="M120" s="5"/>
      <c r="N120" s="5"/>
      <c r="O120" s="24"/>
    </row>
    <row r="121" customFormat="false" ht="21.75" hidden="false" customHeight="true" outlineLevel="0" collapsed="false">
      <c r="A121" s="17"/>
      <c r="B121" s="11"/>
      <c r="C121" s="12"/>
      <c r="D121" s="18"/>
      <c r="E121" s="18"/>
      <c r="F121" s="18"/>
      <c r="G121" s="19" t="str">
        <f aca="false">IFERROR(F121/D121,"")</f>
        <v/>
      </c>
      <c r="H121" s="20" t="str">
        <f aca="false">IFERROR(C121/F121,"")</f>
        <v/>
      </c>
      <c r="I121" s="20" t="str">
        <f aca="false">IFERROR(C121/D121*1000,"")</f>
        <v/>
      </c>
      <c r="J121" s="11"/>
      <c r="K121" s="20" t="str">
        <f aca="false">IFERROR(C121/J121,"")</f>
        <v/>
      </c>
      <c r="L121" s="19" t="str">
        <f aca="false">IFERROR(J121/F121,"")</f>
        <v/>
      </c>
      <c r="M121" s="11"/>
      <c r="N121" s="11"/>
      <c r="O121" s="21"/>
    </row>
    <row r="122" customFormat="false" ht="21.75" hidden="false" customHeight="true" outlineLevel="0" collapsed="false">
      <c r="A122" s="22"/>
      <c r="B122" s="5"/>
      <c r="C122" s="7"/>
      <c r="D122" s="23"/>
      <c r="E122" s="23"/>
      <c r="F122" s="23"/>
      <c r="G122" s="19" t="str">
        <f aca="false">IFERROR(F122/D122,"")</f>
        <v/>
      </c>
      <c r="H122" s="20" t="str">
        <f aca="false">IFERROR(C122/F122,"")</f>
        <v/>
      </c>
      <c r="I122" s="20" t="str">
        <f aca="false">IFERROR(C122/D122*1000,"")</f>
        <v/>
      </c>
      <c r="J122" s="5"/>
      <c r="K122" s="20" t="str">
        <f aca="false">IFERROR(C122/J122,"")</f>
        <v/>
      </c>
      <c r="L122" s="19" t="str">
        <f aca="false">IFERROR(J122/F122,"")</f>
        <v/>
      </c>
      <c r="M122" s="5"/>
      <c r="N122" s="5"/>
      <c r="O122" s="24"/>
    </row>
    <row r="123" customFormat="false" ht="21.75" hidden="false" customHeight="true" outlineLevel="0" collapsed="false">
      <c r="A123" s="17"/>
      <c r="B123" s="11"/>
      <c r="C123" s="12"/>
      <c r="D123" s="18"/>
      <c r="E123" s="18"/>
      <c r="F123" s="18"/>
      <c r="G123" s="19" t="str">
        <f aca="false">IFERROR(F123/D123,"")</f>
        <v/>
      </c>
      <c r="H123" s="20" t="str">
        <f aca="false">IFERROR(C123/F123,"")</f>
        <v/>
      </c>
      <c r="I123" s="20" t="str">
        <f aca="false">IFERROR(C123/D123*1000,"")</f>
        <v/>
      </c>
      <c r="J123" s="11"/>
      <c r="K123" s="20" t="str">
        <f aca="false">IFERROR(C123/J123,"")</f>
        <v/>
      </c>
      <c r="L123" s="19" t="str">
        <f aca="false">IFERROR(J123/F123,"")</f>
        <v/>
      </c>
      <c r="M123" s="11"/>
      <c r="N123" s="11"/>
      <c r="O123" s="21"/>
    </row>
    <row r="124" customFormat="false" ht="21.75" hidden="false" customHeight="true" outlineLevel="0" collapsed="false">
      <c r="A124" s="22"/>
      <c r="B124" s="5"/>
      <c r="C124" s="7"/>
      <c r="D124" s="23"/>
      <c r="E124" s="23"/>
      <c r="F124" s="23"/>
      <c r="G124" s="19" t="str">
        <f aca="false">IFERROR(F124/D124,"")</f>
        <v/>
      </c>
      <c r="H124" s="20" t="str">
        <f aca="false">IFERROR(C124/F124,"")</f>
        <v/>
      </c>
      <c r="I124" s="20" t="str">
        <f aca="false">IFERROR(C124/D124*1000,"")</f>
        <v/>
      </c>
      <c r="J124" s="5"/>
      <c r="K124" s="20" t="str">
        <f aca="false">IFERROR(C124/J124,"")</f>
        <v/>
      </c>
      <c r="L124" s="19" t="str">
        <f aca="false">IFERROR(J124/F124,"")</f>
        <v/>
      </c>
      <c r="M124" s="5"/>
      <c r="N124" s="5"/>
      <c r="O124" s="24"/>
    </row>
    <row r="125" customFormat="false" ht="21.75" hidden="false" customHeight="true" outlineLevel="0" collapsed="false">
      <c r="A125" s="17"/>
      <c r="B125" s="11"/>
      <c r="C125" s="12"/>
      <c r="D125" s="18"/>
      <c r="E125" s="18"/>
      <c r="F125" s="18"/>
      <c r="G125" s="19" t="str">
        <f aca="false">IFERROR(F125/D125,"")</f>
        <v/>
      </c>
      <c r="H125" s="20" t="str">
        <f aca="false">IFERROR(C125/F125,"")</f>
        <v/>
      </c>
      <c r="I125" s="20" t="str">
        <f aca="false">IFERROR(C125/D125*1000,"")</f>
        <v/>
      </c>
      <c r="J125" s="11"/>
      <c r="K125" s="20" t="str">
        <f aca="false">IFERROR(C125/J125,"")</f>
        <v/>
      </c>
      <c r="L125" s="19" t="str">
        <f aca="false">IFERROR(J125/F125,"")</f>
        <v/>
      </c>
      <c r="M125" s="11"/>
      <c r="N125" s="11"/>
      <c r="O125" s="21"/>
    </row>
    <row r="126" customFormat="false" ht="21.75" hidden="false" customHeight="true" outlineLevel="0" collapsed="false">
      <c r="A126" s="22"/>
      <c r="B126" s="5"/>
      <c r="C126" s="7"/>
      <c r="D126" s="23"/>
      <c r="E126" s="23"/>
      <c r="F126" s="23"/>
      <c r="G126" s="19" t="str">
        <f aca="false">IFERROR(F126/D126,"")</f>
        <v/>
      </c>
      <c r="H126" s="20" t="str">
        <f aca="false">IFERROR(C126/F126,"")</f>
        <v/>
      </c>
      <c r="I126" s="20" t="str">
        <f aca="false">IFERROR(C126/D126*1000,"")</f>
        <v/>
      </c>
      <c r="J126" s="5"/>
      <c r="K126" s="20" t="str">
        <f aca="false">IFERROR(C126/J126,"")</f>
        <v/>
      </c>
      <c r="L126" s="19" t="str">
        <f aca="false">IFERROR(J126/F126,"")</f>
        <v/>
      </c>
      <c r="M126" s="5"/>
      <c r="N126" s="5"/>
      <c r="O126" s="24"/>
    </row>
    <row r="127" customFormat="false" ht="21.75" hidden="false" customHeight="true" outlineLevel="0" collapsed="false">
      <c r="A127" s="17"/>
      <c r="B127" s="11"/>
      <c r="C127" s="12"/>
      <c r="D127" s="18"/>
      <c r="E127" s="18"/>
      <c r="F127" s="18"/>
      <c r="G127" s="19" t="str">
        <f aca="false">IFERROR(F127/D127,"")</f>
        <v/>
      </c>
      <c r="H127" s="20" t="str">
        <f aca="false">IFERROR(C127/F127,"")</f>
        <v/>
      </c>
      <c r="I127" s="20" t="str">
        <f aca="false">IFERROR(C127/D127*1000,"")</f>
        <v/>
      </c>
      <c r="J127" s="11"/>
      <c r="K127" s="20" t="str">
        <f aca="false">IFERROR(C127/J127,"")</f>
        <v/>
      </c>
      <c r="L127" s="19" t="str">
        <f aca="false">IFERROR(J127/F127,"")</f>
        <v/>
      </c>
      <c r="M127" s="11"/>
      <c r="N127" s="11"/>
      <c r="O127" s="21"/>
    </row>
    <row r="128" customFormat="false" ht="21.75" hidden="false" customHeight="true" outlineLevel="0" collapsed="false">
      <c r="A128" s="22"/>
      <c r="B128" s="5"/>
      <c r="C128" s="7"/>
      <c r="D128" s="23"/>
      <c r="E128" s="23"/>
      <c r="F128" s="23"/>
      <c r="G128" s="19" t="str">
        <f aca="false">IFERROR(F128/D128,"")</f>
        <v/>
      </c>
      <c r="H128" s="20" t="str">
        <f aca="false">IFERROR(C128/F128,"")</f>
        <v/>
      </c>
      <c r="I128" s="20" t="str">
        <f aca="false">IFERROR(C128/D128*1000,"")</f>
        <v/>
      </c>
      <c r="J128" s="5"/>
      <c r="K128" s="20" t="str">
        <f aca="false">IFERROR(C128/J128,"")</f>
        <v/>
      </c>
      <c r="L128" s="19" t="str">
        <f aca="false">IFERROR(J128/F128,"")</f>
        <v/>
      </c>
      <c r="M128" s="5"/>
      <c r="N128" s="5"/>
      <c r="O128" s="24"/>
    </row>
    <row r="129" customFormat="false" ht="21.75" hidden="false" customHeight="true" outlineLevel="0" collapsed="false">
      <c r="A129" s="17"/>
      <c r="B129" s="11"/>
      <c r="C129" s="12"/>
      <c r="D129" s="18"/>
      <c r="E129" s="18"/>
      <c r="F129" s="18"/>
      <c r="G129" s="19" t="str">
        <f aca="false">IFERROR(F129/D129,"")</f>
        <v/>
      </c>
      <c r="H129" s="20" t="str">
        <f aca="false">IFERROR(C129/F129,"")</f>
        <v/>
      </c>
      <c r="I129" s="20" t="str">
        <f aca="false">IFERROR(C129/D129*1000,"")</f>
        <v/>
      </c>
      <c r="J129" s="11"/>
      <c r="K129" s="20" t="str">
        <f aca="false">IFERROR(C129/J129,"")</f>
        <v/>
      </c>
      <c r="L129" s="19" t="str">
        <f aca="false">IFERROR(J129/F129,"")</f>
        <v/>
      </c>
      <c r="M129" s="11"/>
      <c r="N129" s="11"/>
      <c r="O129" s="21"/>
    </row>
    <row r="130" customFormat="false" ht="21.75" hidden="false" customHeight="true" outlineLevel="0" collapsed="false">
      <c r="A130" s="22"/>
      <c r="B130" s="5"/>
      <c r="C130" s="7"/>
      <c r="D130" s="23"/>
      <c r="E130" s="23"/>
      <c r="F130" s="23"/>
      <c r="G130" s="19" t="str">
        <f aca="false">IFERROR(F130/D130,"")</f>
        <v/>
      </c>
      <c r="H130" s="20" t="str">
        <f aca="false">IFERROR(C130/F130,"")</f>
        <v/>
      </c>
      <c r="I130" s="20" t="str">
        <f aca="false">IFERROR(C130/D130*1000,"")</f>
        <v/>
      </c>
      <c r="J130" s="5"/>
      <c r="K130" s="20" t="str">
        <f aca="false">IFERROR(C130/J130,"")</f>
        <v/>
      </c>
      <c r="L130" s="19" t="str">
        <f aca="false">IFERROR(J130/F130,"")</f>
        <v/>
      </c>
      <c r="M130" s="5"/>
      <c r="N130" s="5"/>
      <c r="O130" s="24"/>
    </row>
    <row r="131" customFormat="false" ht="21.75" hidden="false" customHeight="true" outlineLevel="0" collapsed="false">
      <c r="A131" s="17"/>
      <c r="B131" s="11"/>
      <c r="C131" s="12"/>
      <c r="D131" s="18"/>
      <c r="E131" s="18"/>
      <c r="F131" s="18"/>
      <c r="G131" s="19" t="str">
        <f aca="false">IFERROR(F131/D131,"")</f>
        <v/>
      </c>
      <c r="H131" s="20" t="str">
        <f aca="false">IFERROR(C131/F131,"")</f>
        <v/>
      </c>
      <c r="I131" s="20" t="str">
        <f aca="false">IFERROR(C131/D131*1000,"")</f>
        <v/>
      </c>
      <c r="J131" s="11"/>
      <c r="K131" s="20" t="str">
        <f aca="false">IFERROR(C131/J131,"")</f>
        <v/>
      </c>
      <c r="L131" s="19" t="str">
        <f aca="false">IFERROR(J131/F131,"")</f>
        <v/>
      </c>
      <c r="M131" s="11"/>
      <c r="N131" s="11"/>
      <c r="O131" s="21"/>
    </row>
    <row r="132" customFormat="false" ht="21.75" hidden="false" customHeight="true" outlineLevel="0" collapsed="false">
      <c r="A132" s="22"/>
      <c r="B132" s="5"/>
      <c r="C132" s="7"/>
      <c r="D132" s="23"/>
      <c r="E132" s="23"/>
      <c r="F132" s="23"/>
      <c r="G132" s="19" t="str">
        <f aca="false">IFERROR(F132/D132,"")</f>
        <v/>
      </c>
      <c r="H132" s="20" t="str">
        <f aca="false">IFERROR(C132/F132,"")</f>
        <v/>
      </c>
      <c r="I132" s="20" t="str">
        <f aca="false">IFERROR(C132/D132*1000,"")</f>
        <v/>
      </c>
      <c r="J132" s="5"/>
      <c r="K132" s="20" t="str">
        <f aca="false">IFERROR(C132/J132,"")</f>
        <v/>
      </c>
      <c r="L132" s="19" t="str">
        <f aca="false">IFERROR(J132/F132,"")</f>
        <v/>
      </c>
      <c r="M132" s="5"/>
      <c r="N132" s="5"/>
      <c r="O132" s="24"/>
    </row>
    <row r="133" customFormat="false" ht="21.75" hidden="false" customHeight="true" outlineLevel="0" collapsed="false">
      <c r="A133" s="17"/>
      <c r="B133" s="11"/>
      <c r="C133" s="12"/>
      <c r="D133" s="18"/>
      <c r="E133" s="18"/>
      <c r="F133" s="18"/>
      <c r="G133" s="19" t="str">
        <f aca="false">IFERROR(F133/D133,"")</f>
        <v/>
      </c>
      <c r="H133" s="20" t="str">
        <f aca="false">IFERROR(C133/F133,"")</f>
        <v/>
      </c>
      <c r="I133" s="20" t="str">
        <f aca="false">IFERROR(C133/D133*1000,"")</f>
        <v/>
      </c>
      <c r="J133" s="11"/>
      <c r="K133" s="20" t="str">
        <f aca="false">IFERROR(C133/J133,"")</f>
        <v/>
      </c>
      <c r="L133" s="19" t="str">
        <f aca="false">IFERROR(J133/F133,"")</f>
        <v/>
      </c>
      <c r="M133" s="11"/>
      <c r="N133" s="11"/>
      <c r="O133" s="21"/>
    </row>
    <row r="134" customFormat="false" ht="21.75" hidden="false" customHeight="true" outlineLevel="0" collapsed="false">
      <c r="A134" s="22"/>
      <c r="B134" s="5"/>
      <c r="C134" s="7"/>
      <c r="D134" s="23"/>
      <c r="E134" s="23"/>
      <c r="F134" s="23"/>
      <c r="G134" s="19" t="str">
        <f aca="false">IFERROR(F134/D134,"")</f>
        <v/>
      </c>
      <c r="H134" s="20" t="str">
        <f aca="false">IFERROR(C134/F134,"")</f>
        <v/>
      </c>
      <c r="I134" s="20" t="str">
        <f aca="false">IFERROR(C134/D134*1000,"")</f>
        <v/>
      </c>
      <c r="J134" s="5"/>
      <c r="K134" s="20" t="str">
        <f aca="false">IFERROR(C134/J134,"")</f>
        <v/>
      </c>
      <c r="L134" s="19" t="str">
        <f aca="false">IFERROR(J134/F134,"")</f>
        <v/>
      </c>
      <c r="M134" s="5"/>
      <c r="N134" s="5"/>
      <c r="O134" s="24"/>
    </row>
    <row r="135" customFormat="false" ht="21.75" hidden="false" customHeight="true" outlineLevel="0" collapsed="false">
      <c r="A135" s="17"/>
      <c r="B135" s="11"/>
      <c r="C135" s="12"/>
      <c r="D135" s="18"/>
      <c r="E135" s="18"/>
      <c r="F135" s="18"/>
      <c r="G135" s="19" t="str">
        <f aca="false">IFERROR(F135/D135,"")</f>
        <v/>
      </c>
      <c r="H135" s="20" t="str">
        <f aca="false">IFERROR(C135/F135,"")</f>
        <v/>
      </c>
      <c r="I135" s="20" t="str">
        <f aca="false">IFERROR(C135/D135*1000,"")</f>
        <v/>
      </c>
      <c r="J135" s="11"/>
      <c r="K135" s="20" t="str">
        <f aca="false">IFERROR(C135/J135,"")</f>
        <v/>
      </c>
      <c r="L135" s="19" t="str">
        <f aca="false">IFERROR(J135/F135,"")</f>
        <v/>
      </c>
      <c r="M135" s="11"/>
      <c r="N135" s="11"/>
      <c r="O135" s="21"/>
    </row>
    <row r="136" customFormat="false" ht="21.75" hidden="false" customHeight="true" outlineLevel="0" collapsed="false">
      <c r="A136" s="22"/>
      <c r="B136" s="5"/>
      <c r="C136" s="7"/>
      <c r="D136" s="23"/>
      <c r="E136" s="23"/>
      <c r="F136" s="23"/>
      <c r="G136" s="19" t="str">
        <f aca="false">IFERROR(F136/D136,"")</f>
        <v/>
      </c>
      <c r="H136" s="20" t="str">
        <f aca="false">IFERROR(C136/F136,"")</f>
        <v/>
      </c>
      <c r="I136" s="20" t="str">
        <f aca="false">IFERROR(C136/D136*1000,"")</f>
        <v/>
      </c>
      <c r="J136" s="5"/>
      <c r="K136" s="20" t="str">
        <f aca="false">IFERROR(C136/J136,"")</f>
        <v/>
      </c>
      <c r="L136" s="19" t="str">
        <f aca="false">IFERROR(J136/F136,"")</f>
        <v/>
      </c>
      <c r="M136" s="5"/>
      <c r="N136" s="5"/>
      <c r="O136" s="24"/>
    </row>
    <row r="137" customFormat="false" ht="21.75" hidden="false" customHeight="true" outlineLevel="0" collapsed="false">
      <c r="A137" s="17"/>
      <c r="B137" s="11"/>
      <c r="C137" s="12"/>
      <c r="D137" s="18"/>
      <c r="E137" s="18"/>
      <c r="F137" s="18"/>
      <c r="G137" s="19" t="str">
        <f aca="false">IFERROR(F137/D137,"")</f>
        <v/>
      </c>
      <c r="H137" s="20" t="str">
        <f aca="false">IFERROR(C137/F137,"")</f>
        <v/>
      </c>
      <c r="I137" s="20" t="str">
        <f aca="false">IFERROR(C137/D137*1000,"")</f>
        <v/>
      </c>
      <c r="J137" s="11"/>
      <c r="K137" s="20" t="str">
        <f aca="false">IFERROR(C137/J137,"")</f>
        <v/>
      </c>
      <c r="L137" s="19" t="str">
        <f aca="false">IFERROR(J137/F137,"")</f>
        <v/>
      </c>
      <c r="M137" s="11"/>
      <c r="N137" s="11"/>
      <c r="O137" s="21"/>
    </row>
    <row r="138" customFormat="false" ht="21.75" hidden="false" customHeight="true" outlineLevel="0" collapsed="false">
      <c r="A138" s="22"/>
      <c r="B138" s="5"/>
      <c r="C138" s="7"/>
      <c r="D138" s="23"/>
      <c r="E138" s="23"/>
      <c r="F138" s="23"/>
      <c r="G138" s="19" t="str">
        <f aca="false">IFERROR(F138/D138,"")</f>
        <v/>
      </c>
      <c r="H138" s="20" t="str">
        <f aca="false">IFERROR(C138/F138,"")</f>
        <v/>
      </c>
      <c r="I138" s="20" t="str">
        <f aca="false">IFERROR(C138/D138*1000,"")</f>
        <v/>
      </c>
      <c r="J138" s="5"/>
      <c r="K138" s="20" t="str">
        <f aca="false">IFERROR(C138/J138,"")</f>
        <v/>
      </c>
      <c r="L138" s="19" t="str">
        <f aca="false">IFERROR(J138/F138,"")</f>
        <v/>
      </c>
      <c r="M138" s="5"/>
      <c r="N138" s="5"/>
      <c r="O138" s="24"/>
    </row>
    <row r="139" customFormat="false" ht="21.75" hidden="false" customHeight="true" outlineLevel="0" collapsed="false">
      <c r="A139" s="17"/>
      <c r="B139" s="11"/>
      <c r="C139" s="12"/>
      <c r="D139" s="18"/>
      <c r="E139" s="18"/>
      <c r="F139" s="18"/>
      <c r="G139" s="19" t="str">
        <f aca="false">IFERROR(F139/D139,"")</f>
        <v/>
      </c>
      <c r="H139" s="20" t="str">
        <f aca="false">IFERROR(C139/F139,"")</f>
        <v/>
      </c>
      <c r="I139" s="20" t="str">
        <f aca="false">IFERROR(C139/D139*1000,"")</f>
        <v/>
      </c>
      <c r="J139" s="11"/>
      <c r="K139" s="20" t="str">
        <f aca="false">IFERROR(C139/J139,"")</f>
        <v/>
      </c>
      <c r="L139" s="19" t="str">
        <f aca="false">IFERROR(J139/F139,"")</f>
        <v/>
      </c>
      <c r="M139" s="11"/>
      <c r="N139" s="11"/>
      <c r="O139" s="21"/>
    </row>
    <row r="140" customFormat="false" ht="21.75" hidden="false" customHeight="true" outlineLevel="0" collapsed="false">
      <c r="A140" s="22"/>
      <c r="B140" s="5"/>
      <c r="C140" s="7"/>
      <c r="D140" s="23"/>
      <c r="E140" s="23"/>
      <c r="F140" s="23"/>
      <c r="G140" s="19" t="str">
        <f aca="false">IFERROR(F140/D140,"")</f>
        <v/>
      </c>
      <c r="H140" s="20" t="str">
        <f aca="false">IFERROR(C140/F140,"")</f>
        <v/>
      </c>
      <c r="I140" s="20" t="str">
        <f aca="false">IFERROR(C140/D140*1000,"")</f>
        <v/>
      </c>
      <c r="J140" s="5"/>
      <c r="K140" s="20" t="str">
        <f aca="false">IFERROR(C140/J140,"")</f>
        <v/>
      </c>
      <c r="L140" s="19" t="str">
        <f aca="false">IFERROR(J140/F140,"")</f>
        <v/>
      </c>
      <c r="M140" s="5"/>
      <c r="N140" s="5"/>
      <c r="O140" s="24"/>
    </row>
    <row r="141" customFormat="false" ht="21.75" hidden="false" customHeight="true" outlineLevel="0" collapsed="false">
      <c r="A141" s="17"/>
      <c r="B141" s="11"/>
      <c r="C141" s="12"/>
      <c r="D141" s="18"/>
      <c r="E141" s="18"/>
      <c r="F141" s="18"/>
      <c r="G141" s="19" t="str">
        <f aca="false">IFERROR(F141/D141,"")</f>
        <v/>
      </c>
      <c r="H141" s="20" t="str">
        <f aca="false">IFERROR(C141/F141,"")</f>
        <v/>
      </c>
      <c r="I141" s="20" t="str">
        <f aca="false">IFERROR(C141/D141*1000,"")</f>
        <v/>
      </c>
      <c r="J141" s="11"/>
      <c r="K141" s="20" t="str">
        <f aca="false">IFERROR(C141/J141,"")</f>
        <v/>
      </c>
      <c r="L141" s="19" t="str">
        <f aca="false">IFERROR(J141/F141,"")</f>
        <v/>
      </c>
      <c r="M141" s="11"/>
      <c r="N141" s="11"/>
      <c r="O141" s="21"/>
    </row>
    <row r="142" customFormat="false" ht="21.75" hidden="false" customHeight="true" outlineLevel="0" collapsed="false">
      <c r="A142" s="22"/>
      <c r="B142" s="5"/>
      <c r="C142" s="7"/>
      <c r="D142" s="23"/>
      <c r="E142" s="23"/>
      <c r="F142" s="23"/>
      <c r="G142" s="19" t="str">
        <f aca="false">IFERROR(F142/D142,"")</f>
        <v/>
      </c>
      <c r="H142" s="20" t="str">
        <f aca="false">IFERROR(C142/F142,"")</f>
        <v/>
      </c>
      <c r="I142" s="20" t="str">
        <f aca="false">IFERROR(C142/D142*1000,"")</f>
        <v/>
      </c>
      <c r="J142" s="5"/>
      <c r="K142" s="20" t="str">
        <f aca="false">IFERROR(C142/J142,"")</f>
        <v/>
      </c>
      <c r="L142" s="19" t="str">
        <f aca="false">IFERROR(J142/F142,"")</f>
        <v/>
      </c>
      <c r="M142" s="5"/>
      <c r="N142" s="5"/>
      <c r="O142" s="24"/>
    </row>
    <row r="143" customFormat="false" ht="21.75" hidden="false" customHeight="true" outlineLevel="0" collapsed="false">
      <c r="A143" s="17"/>
      <c r="B143" s="11"/>
      <c r="C143" s="12"/>
      <c r="D143" s="18"/>
      <c r="E143" s="18"/>
      <c r="F143" s="18"/>
      <c r="G143" s="19" t="str">
        <f aca="false">IFERROR(F143/D143,"")</f>
        <v/>
      </c>
      <c r="H143" s="20" t="str">
        <f aca="false">IFERROR(C143/F143,"")</f>
        <v/>
      </c>
      <c r="I143" s="20" t="str">
        <f aca="false">IFERROR(C143/D143*1000,"")</f>
        <v/>
      </c>
      <c r="J143" s="11"/>
      <c r="K143" s="20" t="str">
        <f aca="false">IFERROR(C143/J143,"")</f>
        <v/>
      </c>
      <c r="L143" s="19" t="str">
        <f aca="false">IFERROR(J143/F143,"")</f>
        <v/>
      </c>
      <c r="M143" s="11"/>
      <c r="N143" s="11"/>
      <c r="O143" s="21"/>
    </row>
    <row r="144" customFormat="false" ht="21.75" hidden="false" customHeight="true" outlineLevel="0" collapsed="false">
      <c r="A144" s="22"/>
      <c r="B144" s="5"/>
      <c r="C144" s="7"/>
      <c r="D144" s="23"/>
      <c r="E144" s="23"/>
      <c r="F144" s="23"/>
      <c r="G144" s="19" t="str">
        <f aca="false">IFERROR(F144/D144,"")</f>
        <v/>
      </c>
      <c r="H144" s="20" t="str">
        <f aca="false">IFERROR(C144/F144,"")</f>
        <v/>
      </c>
      <c r="I144" s="20" t="str">
        <f aca="false">IFERROR(C144/D144*1000,"")</f>
        <v/>
      </c>
      <c r="J144" s="5"/>
      <c r="K144" s="20" t="str">
        <f aca="false">IFERROR(C144/J144,"")</f>
        <v/>
      </c>
      <c r="L144" s="19" t="str">
        <f aca="false">IFERROR(J144/F144,"")</f>
        <v/>
      </c>
      <c r="M144" s="5"/>
      <c r="N144" s="5"/>
      <c r="O144" s="24"/>
    </row>
    <row r="145" customFormat="false" ht="21.75" hidden="false" customHeight="true" outlineLevel="0" collapsed="false">
      <c r="A145" s="17"/>
      <c r="B145" s="11"/>
      <c r="C145" s="12"/>
      <c r="D145" s="18"/>
      <c r="E145" s="18"/>
      <c r="F145" s="18"/>
      <c r="G145" s="19" t="str">
        <f aca="false">IFERROR(F145/D145,"")</f>
        <v/>
      </c>
      <c r="H145" s="20" t="str">
        <f aca="false">IFERROR(C145/F145,"")</f>
        <v/>
      </c>
      <c r="I145" s="20" t="str">
        <f aca="false">IFERROR(C145/D145*1000,"")</f>
        <v/>
      </c>
      <c r="J145" s="11"/>
      <c r="K145" s="20" t="str">
        <f aca="false">IFERROR(C145/J145,"")</f>
        <v/>
      </c>
      <c r="L145" s="19" t="str">
        <f aca="false">IFERROR(J145/F145,"")</f>
        <v/>
      </c>
      <c r="M145" s="11"/>
      <c r="N145" s="11"/>
      <c r="O145" s="21"/>
    </row>
    <row r="146" customFormat="false" ht="21.75" hidden="false" customHeight="true" outlineLevel="0" collapsed="false">
      <c r="A146" s="22"/>
      <c r="B146" s="5"/>
      <c r="C146" s="7"/>
      <c r="D146" s="23"/>
      <c r="E146" s="23"/>
      <c r="F146" s="23"/>
      <c r="G146" s="19" t="str">
        <f aca="false">IFERROR(F146/D146,"")</f>
        <v/>
      </c>
      <c r="H146" s="20" t="str">
        <f aca="false">IFERROR(C146/F146,"")</f>
        <v/>
      </c>
      <c r="I146" s="20" t="str">
        <f aca="false">IFERROR(C146/D146*1000,"")</f>
        <v/>
      </c>
      <c r="J146" s="5"/>
      <c r="K146" s="20" t="str">
        <f aca="false">IFERROR(C146/J146,"")</f>
        <v/>
      </c>
      <c r="L146" s="19" t="str">
        <f aca="false">IFERROR(J146/F146,"")</f>
        <v/>
      </c>
      <c r="M146" s="5"/>
      <c r="N146" s="5"/>
      <c r="O146" s="24"/>
    </row>
    <row r="147" customFormat="false" ht="21.75" hidden="false" customHeight="true" outlineLevel="0" collapsed="false">
      <c r="A147" s="17"/>
      <c r="B147" s="11"/>
      <c r="C147" s="12"/>
      <c r="D147" s="18"/>
      <c r="E147" s="18"/>
      <c r="F147" s="18"/>
      <c r="G147" s="19" t="str">
        <f aca="false">IFERROR(F147/D147,"")</f>
        <v/>
      </c>
      <c r="H147" s="20" t="str">
        <f aca="false">IFERROR(C147/F147,"")</f>
        <v/>
      </c>
      <c r="I147" s="20" t="str">
        <f aca="false">IFERROR(C147/D147*1000,"")</f>
        <v/>
      </c>
      <c r="J147" s="11"/>
      <c r="K147" s="20" t="str">
        <f aca="false">IFERROR(C147/J147,"")</f>
        <v/>
      </c>
      <c r="L147" s="19" t="str">
        <f aca="false">IFERROR(J147/F147,"")</f>
        <v/>
      </c>
      <c r="M147" s="11"/>
      <c r="N147" s="11"/>
      <c r="O147" s="21"/>
    </row>
    <row r="148" customFormat="false" ht="21.75" hidden="false" customHeight="true" outlineLevel="0" collapsed="false">
      <c r="A148" s="22"/>
      <c r="B148" s="5"/>
      <c r="C148" s="7"/>
      <c r="D148" s="23"/>
      <c r="E148" s="23"/>
      <c r="F148" s="23"/>
      <c r="G148" s="19" t="str">
        <f aca="false">IFERROR(F148/D148,"")</f>
        <v/>
      </c>
      <c r="H148" s="20" t="str">
        <f aca="false">IFERROR(C148/F148,"")</f>
        <v/>
      </c>
      <c r="I148" s="20" t="str">
        <f aca="false">IFERROR(C148/D148*1000,"")</f>
        <v/>
      </c>
      <c r="J148" s="5"/>
      <c r="K148" s="20" t="str">
        <f aca="false">IFERROR(C148/J148,"")</f>
        <v/>
      </c>
      <c r="L148" s="19" t="str">
        <f aca="false">IFERROR(J148/F148,"")</f>
        <v/>
      </c>
      <c r="M148" s="5"/>
      <c r="N148" s="5"/>
      <c r="O148" s="24"/>
    </row>
    <row r="149" customFormat="false" ht="21.75" hidden="false" customHeight="true" outlineLevel="0" collapsed="false">
      <c r="A149" s="17"/>
      <c r="B149" s="11"/>
      <c r="C149" s="12"/>
      <c r="D149" s="18"/>
      <c r="E149" s="18"/>
      <c r="F149" s="18"/>
      <c r="G149" s="19" t="str">
        <f aca="false">IFERROR(F149/D149,"")</f>
        <v/>
      </c>
      <c r="H149" s="20" t="str">
        <f aca="false">IFERROR(C149/F149,"")</f>
        <v/>
      </c>
      <c r="I149" s="20" t="str">
        <f aca="false">IFERROR(C149/D149*1000,"")</f>
        <v/>
      </c>
      <c r="J149" s="11"/>
      <c r="K149" s="20" t="str">
        <f aca="false">IFERROR(C149/J149,"")</f>
        <v/>
      </c>
      <c r="L149" s="19" t="str">
        <f aca="false">IFERROR(J149/F149,"")</f>
        <v/>
      </c>
      <c r="M149" s="11"/>
      <c r="N149" s="11"/>
      <c r="O149" s="21"/>
    </row>
    <row r="150" customFormat="false" ht="21.75" hidden="false" customHeight="true" outlineLevel="0" collapsed="false">
      <c r="A150" s="22"/>
      <c r="B150" s="5"/>
      <c r="C150" s="7"/>
      <c r="D150" s="23"/>
      <c r="E150" s="23"/>
      <c r="F150" s="23"/>
      <c r="G150" s="19" t="str">
        <f aca="false">IFERROR(F150/D150,"")</f>
        <v/>
      </c>
      <c r="H150" s="20" t="str">
        <f aca="false">IFERROR(C150/F150,"")</f>
        <v/>
      </c>
      <c r="I150" s="20" t="str">
        <f aca="false">IFERROR(C150/D150*1000,"")</f>
        <v/>
      </c>
      <c r="J150" s="5"/>
      <c r="K150" s="20" t="str">
        <f aca="false">IFERROR(C150/J150,"")</f>
        <v/>
      </c>
      <c r="L150" s="19" t="str">
        <f aca="false">IFERROR(J150/F150,"")</f>
        <v/>
      </c>
      <c r="M150" s="5"/>
      <c r="N150" s="5"/>
      <c r="O150" s="24"/>
    </row>
    <row r="151" customFormat="false" ht="21.75" hidden="false" customHeight="true" outlineLevel="0" collapsed="false">
      <c r="A151" s="17"/>
      <c r="B151" s="11"/>
      <c r="C151" s="12"/>
      <c r="D151" s="18"/>
      <c r="E151" s="18"/>
      <c r="F151" s="18"/>
      <c r="G151" s="19" t="str">
        <f aca="false">IFERROR(F151/D151,"")</f>
        <v/>
      </c>
      <c r="H151" s="20" t="str">
        <f aca="false">IFERROR(C151/F151,"")</f>
        <v/>
      </c>
      <c r="I151" s="20" t="str">
        <f aca="false">IFERROR(C151/D151*1000,"")</f>
        <v/>
      </c>
      <c r="J151" s="11"/>
      <c r="K151" s="20" t="str">
        <f aca="false">IFERROR(C151/J151,"")</f>
        <v/>
      </c>
      <c r="L151" s="19" t="str">
        <f aca="false">IFERROR(J151/F151,"")</f>
        <v/>
      </c>
      <c r="M151" s="11"/>
      <c r="N151" s="11"/>
      <c r="O151" s="21"/>
    </row>
    <row r="152" customFormat="false" ht="21.75" hidden="false" customHeight="true" outlineLevel="0" collapsed="false">
      <c r="A152" s="22"/>
      <c r="B152" s="5"/>
      <c r="C152" s="7"/>
      <c r="D152" s="23"/>
      <c r="E152" s="23"/>
      <c r="F152" s="23"/>
      <c r="G152" s="19" t="str">
        <f aca="false">IFERROR(F152/D152,"")</f>
        <v/>
      </c>
      <c r="H152" s="20" t="str">
        <f aca="false">IFERROR(C152/F152,"")</f>
        <v/>
      </c>
      <c r="I152" s="20" t="str">
        <f aca="false">IFERROR(C152/D152*1000,"")</f>
        <v/>
      </c>
      <c r="J152" s="5"/>
      <c r="K152" s="20" t="str">
        <f aca="false">IFERROR(C152/J152,"")</f>
        <v/>
      </c>
      <c r="L152" s="19" t="str">
        <f aca="false">IFERROR(J152/F152,"")</f>
        <v/>
      </c>
      <c r="M152" s="5"/>
      <c r="N152" s="5"/>
      <c r="O152" s="24"/>
    </row>
    <row r="153" customFormat="false" ht="21.75" hidden="false" customHeight="true" outlineLevel="0" collapsed="false">
      <c r="A153" s="17"/>
      <c r="B153" s="11"/>
      <c r="C153" s="12"/>
      <c r="D153" s="18"/>
      <c r="E153" s="18"/>
      <c r="F153" s="18"/>
      <c r="G153" s="19" t="str">
        <f aca="false">IFERROR(F153/D153,"")</f>
        <v/>
      </c>
      <c r="H153" s="20" t="str">
        <f aca="false">IFERROR(C153/F153,"")</f>
        <v/>
      </c>
      <c r="I153" s="20" t="str">
        <f aca="false">IFERROR(C153/D153*1000,"")</f>
        <v/>
      </c>
      <c r="J153" s="11"/>
      <c r="K153" s="20" t="str">
        <f aca="false">IFERROR(C153/J153,"")</f>
        <v/>
      </c>
      <c r="L153" s="19" t="str">
        <f aca="false">IFERROR(J153/F153,"")</f>
        <v/>
      </c>
      <c r="M153" s="11"/>
      <c r="N153" s="11"/>
      <c r="O153" s="21"/>
    </row>
    <row r="154" customFormat="false" ht="21.75" hidden="false" customHeight="true" outlineLevel="0" collapsed="false">
      <c r="A154" s="22"/>
      <c r="B154" s="5"/>
      <c r="C154" s="7"/>
      <c r="D154" s="23"/>
      <c r="E154" s="23"/>
      <c r="F154" s="23"/>
      <c r="G154" s="19" t="str">
        <f aca="false">IFERROR(F154/D154,"")</f>
        <v/>
      </c>
      <c r="H154" s="20" t="str">
        <f aca="false">IFERROR(C154/F154,"")</f>
        <v/>
      </c>
      <c r="I154" s="20" t="str">
        <f aca="false">IFERROR(C154/D154*1000,"")</f>
        <v/>
      </c>
      <c r="J154" s="5"/>
      <c r="K154" s="20" t="str">
        <f aca="false">IFERROR(C154/J154,"")</f>
        <v/>
      </c>
      <c r="L154" s="19" t="str">
        <f aca="false">IFERROR(J154/F154,"")</f>
        <v/>
      </c>
      <c r="M154" s="5"/>
      <c r="N154" s="5"/>
      <c r="O154" s="24"/>
    </row>
    <row r="155" customFormat="false" ht="21.75" hidden="false" customHeight="true" outlineLevel="0" collapsed="false">
      <c r="A155" s="17"/>
      <c r="B155" s="11"/>
      <c r="C155" s="12"/>
      <c r="D155" s="18"/>
      <c r="E155" s="18"/>
      <c r="F155" s="18"/>
      <c r="G155" s="19" t="str">
        <f aca="false">IFERROR(F155/D155,"")</f>
        <v/>
      </c>
      <c r="H155" s="20" t="str">
        <f aca="false">IFERROR(C155/F155,"")</f>
        <v/>
      </c>
      <c r="I155" s="20" t="str">
        <f aca="false">IFERROR(C155/D155*1000,"")</f>
        <v/>
      </c>
      <c r="J155" s="11"/>
      <c r="K155" s="20" t="str">
        <f aca="false">IFERROR(C155/J155,"")</f>
        <v/>
      </c>
      <c r="L155" s="19" t="str">
        <f aca="false">IFERROR(J155/F155,"")</f>
        <v/>
      </c>
      <c r="M155" s="11"/>
      <c r="N155" s="11"/>
      <c r="O155" s="21"/>
    </row>
    <row r="156" customFormat="false" ht="21.75" hidden="false" customHeight="true" outlineLevel="0" collapsed="false">
      <c r="A156" s="22"/>
      <c r="B156" s="5"/>
      <c r="C156" s="7"/>
      <c r="D156" s="23"/>
      <c r="E156" s="23"/>
      <c r="F156" s="23"/>
      <c r="G156" s="19" t="str">
        <f aca="false">IFERROR(F156/D156,"")</f>
        <v/>
      </c>
      <c r="H156" s="20" t="str">
        <f aca="false">IFERROR(C156/F156,"")</f>
        <v/>
      </c>
      <c r="I156" s="20" t="str">
        <f aca="false">IFERROR(C156/D156*1000,"")</f>
        <v/>
      </c>
      <c r="J156" s="5"/>
      <c r="K156" s="20" t="str">
        <f aca="false">IFERROR(C156/J156,"")</f>
        <v/>
      </c>
      <c r="L156" s="19" t="str">
        <f aca="false">IFERROR(J156/F156,"")</f>
        <v/>
      </c>
      <c r="M156" s="5"/>
      <c r="N156" s="5"/>
      <c r="O156" s="24"/>
    </row>
    <row r="157" customFormat="false" ht="21.75" hidden="false" customHeight="true" outlineLevel="0" collapsed="false">
      <c r="A157" s="17"/>
      <c r="B157" s="11"/>
      <c r="C157" s="12"/>
      <c r="D157" s="18"/>
      <c r="E157" s="18"/>
      <c r="F157" s="18"/>
      <c r="G157" s="19" t="str">
        <f aca="false">IFERROR(F157/D157,"")</f>
        <v/>
      </c>
      <c r="H157" s="20" t="str">
        <f aca="false">IFERROR(C157/F157,"")</f>
        <v/>
      </c>
      <c r="I157" s="20" t="str">
        <f aca="false">IFERROR(C157/D157*1000,"")</f>
        <v/>
      </c>
      <c r="J157" s="11"/>
      <c r="K157" s="20" t="str">
        <f aca="false">IFERROR(C157/J157,"")</f>
        <v/>
      </c>
      <c r="L157" s="19" t="str">
        <f aca="false">IFERROR(J157/F157,"")</f>
        <v/>
      </c>
      <c r="M157" s="11"/>
      <c r="N157" s="11"/>
      <c r="O157" s="21"/>
    </row>
    <row r="158" customFormat="false" ht="21.75" hidden="false" customHeight="true" outlineLevel="0" collapsed="false">
      <c r="A158" s="22"/>
      <c r="B158" s="5"/>
      <c r="C158" s="7"/>
      <c r="D158" s="23"/>
      <c r="E158" s="23"/>
      <c r="F158" s="23"/>
      <c r="G158" s="19" t="str">
        <f aca="false">IFERROR(F158/D158,"")</f>
        <v/>
      </c>
      <c r="H158" s="20" t="str">
        <f aca="false">IFERROR(C158/F158,"")</f>
        <v/>
      </c>
      <c r="I158" s="20" t="str">
        <f aca="false">IFERROR(C158/D158*1000,"")</f>
        <v/>
      </c>
      <c r="J158" s="5"/>
      <c r="K158" s="20" t="str">
        <f aca="false">IFERROR(C158/J158,"")</f>
        <v/>
      </c>
      <c r="L158" s="19" t="str">
        <f aca="false">IFERROR(J158/F158,"")</f>
        <v/>
      </c>
      <c r="M158" s="5"/>
      <c r="N158" s="5"/>
      <c r="O158" s="24"/>
    </row>
    <row r="159" customFormat="false" ht="21.75" hidden="false" customHeight="true" outlineLevel="0" collapsed="false">
      <c r="A159" s="17"/>
      <c r="B159" s="11"/>
      <c r="C159" s="12"/>
      <c r="D159" s="18"/>
      <c r="E159" s="18"/>
      <c r="F159" s="18"/>
      <c r="G159" s="19" t="str">
        <f aca="false">IFERROR(F159/D159,"")</f>
        <v/>
      </c>
      <c r="H159" s="20" t="str">
        <f aca="false">IFERROR(C159/F159,"")</f>
        <v/>
      </c>
      <c r="I159" s="20" t="str">
        <f aca="false">IFERROR(C159/D159*1000,"")</f>
        <v/>
      </c>
      <c r="J159" s="11"/>
      <c r="K159" s="20" t="str">
        <f aca="false">IFERROR(C159/J159,"")</f>
        <v/>
      </c>
      <c r="L159" s="19" t="str">
        <f aca="false">IFERROR(J159/F159,"")</f>
        <v/>
      </c>
      <c r="M159" s="11"/>
      <c r="N159" s="11"/>
      <c r="O159" s="21"/>
    </row>
    <row r="160" customFormat="false" ht="21.75" hidden="false" customHeight="true" outlineLevel="0" collapsed="false">
      <c r="A160" s="22"/>
      <c r="B160" s="5"/>
      <c r="C160" s="7"/>
      <c r="D160" s="23"/>
      <c r="E160" s="23"/>
      <c r="F160" s="23"/>
      <c r="G160" s="19" t="str">
        <f aca="false">IFERROR(F160/D160,"")</f>
        <v/>
      </c>
      <c r="H160" s="20" t="str">
        <f aca="false">IFERROR(C160/F160,"")</f>
        <v/>
      </c>
      <c r="I160" s="20" t="str">
        <f aca="false">IFERROR(C160/D160*1000,"")</f>
        <v/>
      </c>
      <c r="J160" s="5"/>
      <c r="K160" s="20" t="str">
        <f aca="false">IFERROR(C160/J160,"")</f>
        <v/>
      </c>
      <c r="L160" s="19" t="str">
        <f aca="false">IFERROR(J160/F160,"")</f>
        <v/>
      </c>
      <c r="M160" s="5"/>
      <c r="N160" s="5"/>
      <c r="O160" s="24"/>
    </row>
    <row r="161" customFormat="false" ht="21.75" hidden="false" customHeight="true" outlineLevel="0" collapsed="false">
      <c r="A161" s="17"/>
      <c r="B161" s="11"/>
      <c r="C161" s="12"/>
      <c r="D161" s="18"/>
      <c r="E161" s="18"/>
      <c r="F161" s="18"/>
      <c r="G161" s="19" t="str">
        <f aca="false">IFERROR(F161/D161,"")</f>
        <v/>
      </c>
      <c r="H161" s="20" t="str">
        <f aca="false">IFERROR(C161/F161,"")</f>
        <v/>
      </c>
      <c r="I161" s="20" t="str">
        <f aca="false">IFERROR(C161/D161*1000,"")</f>
        <v/>
      </c>
      <c r="J161" s="11"/>
      <c r="K161" s="20" t="str">
        <f aca="false">IFERROR(C161/J161,"")</f>
        <v/>
      </c>
      <c r="L161" s="19" t="str">
        <f aca="false">IFERROR(J161/F161,"")</f>
        <v/>
      </c>
      <c r="M161" s="11"/>
      <c r="N161" s="11"/>
      <c r="O161" s="21"/>
    </row>
    <row r="162" customFormat="false" ht="21.75" hidden="false" customHeight="true" outlineLevel="0" collapsed="false">
      <c r="A162" s="22"/>
      <c r="B162" s="5"/>
      <c r="C162" s="7"/>
      <c r="D162" s="23"/>
      <c r="E162" s="23"/>
      <c r="F162" s="23"/>
      <c r="G162" s="19" t="str">
        <f aca="false">IFERROR(F162/D162,"")</f>
        <v/>
      </c>
      <c r="H162" s="20" t="str">
        <f aca="false">IFERROR(C162/F162,"")</f>
        <v/>
      </c>
      <c r="I162" s="20" t="str">
        <f aca="false">IFERROR(C162/D162*1000,"")</f>
        <v/>
      </c>
      <c r="J162" s="5"/>
      <c r="K162" s="20" t="str">
        <f aca="false">IFERROR(C162/J162,"")</f>
        <v/>
      </c>
      <c r="L162" s="19" t="str">
        <f aca="false">IFERROR(J162/F162,"")</f>
        <v/>
      </c>
      <c r="M162" s="5"/>
      <c r="N162" s="5"/>
      <c r="O162" s="24"/>
    </row>
    <row r="163" customFormat="false" ht="21.75" hidden="false" customHeight="true" outlineLevel="0" collapsed="false">
      <c r="A163" s="17"/>
      <c r="B163" s="11"/>
      <c r="C163" s="12"/>
      <c r="D163" s="18"/>
      <c r="E163" s="18"/>
      <c r="F163" s="18"/>
      <c r="G163" s="19" t="str">
        <f aca="false">IFERROR(F163/D163,"")</f>
        <v/>
      </c>
      <c r="H163" s="20" t="str">
        <f aca="false">IFERROR(C163/F163,"")</f>
        <v/>
      </c>
      <c r="I163" s="20" t="str">
        <f aca="false">IFERROR(C163/D163*1000,"")</f>
        <v/>
      </c>
      <c r="J163" s="11"/>
      <c r="K163" s="20" t="str">
        <f aca="false">IFERROR(C163/J163,"")</f>
        <v/>
      </c>
      <c r="L163" s="19" t="str">
        <f aca="false">IFERROR(J163/F163,"")</f>
        <v/>
      </c>
      <c r="M163" s="11"/>
      <c r="N163" s="11"/>
      <c r="O163" s="21"/>
    </row>
    <row r="164" customFormat="false" ht="21.75" hidden="false" customHeight="true" outlineLevel="0" collapsed="false">
      <c r="A164" s="22"/>
      <c r="B164" s="5"/>
      <c r="C164" s="7"/>
      <c r="D164" s="23"/>
      <c r="E164" s="23"/>
      <c r="F164" s="23"/>
      <c r="G164" s="19" t="str">
        <f aca="false">IFERROR(F164/D164,"")</f>
        <v/>
      </c>
      <c r="H164" s="20" t="str">
        <f aca="false">IFERROR(C164/F164,"")</f>
        <v/>
      </c>
      <c r="I164" s="20" t="str">
        <f aca="false">IFERROR(C164/D164*1000,"")</f>
        <v/>
      </c>
      <c r="J164" s="5"/>
      <c r="K164" s="20" t="str">
        <f aca="false">IFERROR(C164/J164,"")</f>
        <v/>
      </c>
      <c r="L164" s="19" t="str">
        <f aca="false">IFERROR(J164/F164,"")</f>
        <v/>
      </c>
      <c r="M164" s="5"/>
      <c r="N164" s="5"/>
      <c r="O164" s="24"/>
    </row>
    <row r="165" customFormat="false" ht="21.75" hidden="false" customHeight="true" outlineLevel="0" collapsed="false">
      <c r="A165" s="17"/>
      <c r="B165" s="11"/>
      <c r="C165" s="12"/>
      <c r="D165" s="18"/>
      <c r="E165" s="18"/>
      <c r="F165" s="18"/>
      <c r="G165" s="19" t="str">
        <f aca="false">IFERROR(F165/D165,"")</f>
        <v/>
      </c>
      <c r="H165" s="20" t="str">
        <f aca="false">IFERROR(C165/F165,"")</f>
        <v/>
      </c>
      <c r="I165" s="20" t="str">
        <f aca="false">IFERROR(C165/D165*1000,"")</f>
        <v/>
      </c>
      <c r="J165" s="11"/>
      <c r="K165" s="20" t="str">
        <f aca="false">IFERROR(C165/J165,"")</f>
        <v/>
      </c>
      <c r="L165" s="19" t="str">
        <f aca="false">IFERROR(J165/F165,"")</f>
        <v/>
      </c>
      <c r="M165" s="11"/>
      <c r="N165" s="11"/>
      <c r="O165" s="21"/>
    </row>
    <row r="166" customFormat="false" ht="21.75" hidden="false" customHeight="true" outlineLevel="0" collapsed="false">
      <c r="A166" s="22"/>
      <c r="B166" s="5"/>
      <c r="C166" s="7"/>
      <c r="D166" s="23"/>
      <c r="E166" s="23"/>
      <c r="F166" s="23"/>
      <c r="G166" s="19" t="str">
        <f aca="false">IFERROR(F166/D166,"")</f>
        <v/>
      </c>
      <c r="H166" s="20" t="str">
        <f aca="false">IFERROR(C166/F166,"")</f>
        <v/>
      </c>
      <c r="I166" s="20" t="str">
        <f aca="false">IFERROR(C166/D166*1000,"")</f>
        <v/>
      </c>
      <c r="J166" s="5"/>
      <c r="K166" s="20" t="str">
        <f aca="false">IFERROR(C166/J166,"")</f>
        <v/>
      </c>
      <c r="L166" s="19" t="str">
        <f aca="false">IFERROR(J166/F166,"")</f>
        <v/>
      </c>
      <c r="M166" s="5"/>
      <c r="N166" s="5"/>
      <c r="O166" s="24"/>
    </row>
    <row r="167" customFormat="false" ht="21.75" hidden="false" customHeight="true" outlineLevel="0" collapsed="false">
      <c r="A167" s="17"/>
      <c r="B167" s="11"/>
      <c r="C167" s="12"/>
      <c r="D167" s="18"/>
      <c r="E167" s="18"/>
      <c r="F167" s="18"/>
      <c r="G167" s="19" t="str">
        <f aca="false">IFERROR(F167/D167,"")</f>
        <v/>
      </c>
      <c r="H167" s="20" t="str">
        <f aca="false">IFERROR(C167/F167,"")</f>
        <v/>
      </c>
      <c r="I167" s="20" t="str">
        <f aca="false">IFERROR(C167/D167*1000,"")</f>
        <v/>
      </c>
      <c r="J167" s="11"/>
      <c r="K167" s="20" t="str">
        <f aca="false">IFERROR(C167/J167,"")</f>
        <v/>
      </c>
      <c r="L167" s="19" t="str">
        <f aca="false">IFERROR(J167/F167,"")</f>
        <v/>
      </c>
      <c r="M167" s="11"/>
      <c r="N167" s="11"/>
      <c r="O167" s="21"/>
    </row>
    <row r="168" customFormat="false" ht="21.75" hidden="false" customHeight="true" outlineLevel="0" collapsed="false">
      <c r="A168" s="22"/>
      <c r="B168" s="5"/>
      <c r="C168" s="7"/>
      <c r="D168" s="23"/>
      <c r="E168" s="23"/>
      <c r="F168" s="23"/>
      <c r="G168" s="19" t="str">
        <f aca="false">IFERROR(F168/D168,"")</f>
        <v/>
      </c>
      <c r="H168" s="20" t="str">
        <f aca="false">IFERROR(C168/F168,"")</f>
        <v/>
      </c>
      <c r="I168" s="20" t="str">
        <f aca="false">IFERROR(C168/D168*1000,"")</f>
        <v/>
      </c>
      <c r="J168" s="5"/>
      <c r="K168" s="20" t="str">
        <f aca="false">IFERROR(C168/J168,"")</f>
        <v/>
      </c>
      <c r="L168" s="19" t="str">
        <f aca="false">IFERROR(J168/F168,"")</f>
        <v/>
      </c>
      <c r="M168" s="5"/>
      <c r="N168" s="5"/>
      <c r="O168" s="24"/>
    </row>
    <row r="169" customFormat="false" ht="21.75" hidden="false" customHeight="true" outlineLevel="0" collapsed="false">
      <c r="A169" s="17"/>
      <c r="B169" s="11"/>
      <c r="C169" s="12"/>
      <c r="D169" s="18"/>
      <c r="E169" s="18"/>
      <c r="F169" s="18"/>
      <c r="G169" s="19" t="str">
        <f aca="false">IFERROR(F169/D169,"")</f>
        <v/>
      </c>
      <c r="H169" s="20" t="str">
        <f aca="false">IFERROR(C169/F169,"")</f>
        <v/>
      </c>
      <c r="I169" s="20" t="str">
        <f aca="false">IFERROR(C169/D169*1000,"")</f>
        <v/>
      </c>
      <c r="J169" s="11"/>
      <c r="K169" s="20" t="str">
        <f aca="false">IFERROR(C169/J169,"")</f>
        <v/>
      </c>
      <c r="L169" s="19" t="str">
        <f aca="false">IFERROR(J169/F169,"")</f>
        <v/>
      </c>
      <c r="M169" s="11"/>
      <c r="N169" s="11"/>
      <c r="O169" s="21"/>
    </row>
    <row r="170" customFormat="false" ht="21.75" hidden="false" customHeight="true" outlineLevel="0" collapsed="false">
      <c r="A170" s="22"/>
      <c r="B170" s="5"/>
      <c r="C170" s="7"/>
      <c r="D170" s="23"/>
      <c r="E170" s="23"/>
      <c r="F170" s="23"/>
      <c r="G170" s="19" t="str">
        <f aca="false">IFERROR(F170/D170,"")</f>
        <v/>
      </c>
      <c r="H170" s="20" t="str">
        <f aca="false">IFERROR(C170/F170,"")</f>
        <v/>
      </c>
      <c r="I170" s="20" t="str">
        <f aca="false">IFERROR(C170/D170*1000,"")</f>
        <v/>
      </c>
      <c r="J170" s="5"/>
      <c r="K170" s="20" t="str">
        <f aca="false">IFERROR(C170/J170,"")</f>
        <v/>
      </c>
      <c r="L170" s="19" t="str">
        <f aca="false">IFERROR(J170/F170,"")</f>
        <v/>
      </c>
      <c r="M170" s="5"/>
      <c r="N170" s="5"/>
      <c r="O170" s="24"/>
    </row>
    <row r="171" customFormat="false" ht="21.75" hidden="false" customHeight="true" outlineLevel="0" collapsed="false">
      <c r="A171" s="17"/>
      <c r="B171" s="11"/>
      <c r="C171" s="12"/>
      <c r="D171" s="18"/>
      <c r="E171" s="18"/>
      <c r="F171" s="18"/>
      <c r="G171" s="19" t="str">
        <f aca="false">IFERROR(F171/D171,"")</f>
        <v/>
      </c>
      <c r="H171" s="20" t="str">
        <f aca="false">IFERROR(C171/F171,"")</f>
        <v/>
      </c>
      <c r="I171" s="20" t="str">
        <f aca="false">IFERROR(C171/D171*1000,"")</f>
        <v/>
      </c>
      <c r="J171" s="11"/>
      <c r="K171" s="20" t="str">
        <f aca="false">IFERROR(C171/J171,"")</f>
        <v/>
      </c>
      <c r="L171" s="19" t="str">
        <f aca="false">IFERROR(J171/F171,"")</f>
        <v/>
      </c>
      <c r="M171" s="11"/>
      <c r="N171" s="11"/>
      <c r="O171" s="21"/>
    </row>
    <row r="172" customFormat="false" ht="21.75" hidden="false" customHeight="true" outlineLevel="0" collapsed="false">
      <c r="A172" s="22"/>
      <c r="B172" s="5"/>
      <c r="C172" s="7"/>
      <c r="D172" s="23"/>
      <c r="E172" s="23"/>
      <c r="F172" s="23"/>
      <c r="G172" s="19" t="str">
        <f aca="false">IFERROR(F172/D172,"")</f>
        <v/>
      </c>
      <c r="H172" s="20" t="str">
        <f aca="false">IFERROR(C172/F172,"")</f>
        <v/>
      </c>
      <c r="I172" s="20" t="str">
        <f aca="false">IFERROR(C172/D172*1000,"")</f>
        <v/>
      </c>
      <c r="J172" s="5"/>
      <c r="K172" s="20" t="str">
        <f aca="false">IFERROR(C172/J172,"")</f>
        <v/>
      </c>
      <c r="L172" s="19" t="str">
        <f aca="false">IFERROR(J172/F172,"")</f>
        <v/>
      </c>
      <c r="M172" s="5"/>
      <c r="N172" s="5"/>
      <c r="O172" s="24"/>
    </row>
    <row r="173" customFormat="false" ht="21.75" hidden="false" customHeight="true" outlineLevel="0" collapsed="false">
      <c r="A173" s="17"/>
      <c r="B173" s="11"/>
      <c r="C173" s="12"/>
      <c r="D173" s="18"/>
      <c r="E173" s="18"/>
      <c r="F173" s="18"/>
      <c r="G173" s="19" t="str">
        <f aca="false">IFERROR(F173/D173,"")</f>
        <v/>
      </c>
      <c r="H173" s="20" t="str">
        <f aca="false">IFERROR(C173/F173,"")</f>
        <v/>
      </c>
      <c r="I173" s="20" t="str">
        <f aca="false">IFERROR(C173/D173*1000,"")</f>
        <v/>
      </c>
      <c r="J173" s="11"/>
      <c r="K173" s="20" t="str">
        <f aca="false">IFERROR(C173/J173,"")</f>
        <v/>
      </c>
      <c r="L173" s="19" t="str">
        <f aca="false">IFERROR(J173/F173,"")</f>
        <v/>
      </c>
      <c r="M173" s="11"/>
      <c r="N173" s="11"/>
      <c r="O173" s="21"/>
    </row>
    <row r="174" customFormat="false" ht="21.75" hidden="false" customHeight="true" outlineLevel="0" collapsed="false">
      <c r="A174" s="22"/>
      <c r="B174" s="5"/>
      <c r="C174" s="7"/>
      <c r="D174" s="23"/>
      <c r="E174" s="23"/>
      <c r="F174" s="23"/>
      <c r="G174" s="19" t="str">
        <f aca="false">IFERROR(F174/D174,"")</f>
        <v/>
      </c>
      <c r="H174" s="20" t="str">
        <f aca="false">IFERROR(C174/F174,"")</f>
        <v/>
      </c>
      <c r="I174" s="20" t="str">
        <f aca="false">IFERROR(C174/D174*1000,"")</f>
        <v/>
      </c>
      <c r="J174" s="5"/>
      <c r="K174" s="20" t="str">
        <f aca="false">IFERROR(C174/J174,"")</f>
        <v/>
      </c>
      <c r="L174" s="19" t="str">
        <f aca="false">IFERROR(J174/F174,"")</f>
        <v/>
      </c>
      <c r="M174" s="5"/>
      <c r="N174" s="5"/>
      <c r="O174" s="24"/>
    </row>
    <row r="175" customFormat="false" ht="21.75" hidden="false" customHeight="true" outlineLevel="0" collapsed="false">
      <c r="A175" s="17"/>
      <c r="B175" s="11"/>
      <c r="C175" s="12"/>
      <c r="D175" s="18"/>
      <c r="E175" s="18"/>
      <c r="F175" s="18"/>
      <c r="G175" s="19" t="str">
        <f aca="false">IFERROR(F175/D175,"")</f>
        <v/>
      </c>
      <c r="H175" s="20" t="str">
        <f aca="false">IFERROR(C175/F175,"")</f>
        <v/>
      </c>
      <c r="I175" s="20" t="str">
        <f aca="false">IFERROR(C175/D175*1000,"")</f>
        <v/>
      </c>
      <c r="J175" s="11"/>
      <c r="K175" s="20" t="str">
        <f aca="false">IFERROR(C175/J175,"")</f>
        <v/>
      </c>
      <c r="L175" s="19" t="str">
        <f aca="false">IFERROR(J175/F175,"")</f>
        <v/>
      </c>
      <c r="M175" s="11"/>
      <c r="N175" s="11"/>
      <c r="O175" s="21"/>
    </row>
    <row r="176" customFormat="false" ht="21.75" hidden="false" customHeight="true" outlineLevel="0" collapsed="false">
      <c r="A176" s="22"/>
      <c r="B176" s="5"/>
      <c r="C176" s="7"/>
      <c r="D176" s="23"/>
      <c r="E176" s="23"/>
      <c r="F176" s="23"/>
      <c r="G176" s="19" t="str">
        <f aca="false">IFERROR(F176/D176,"")</f>
        <v/>
      </c>
      <c r="H176" s="20" t="str">
        <f aca="false">IFERROR(C176/F176,"")</f>
        <v/>
      </c>
      <c r="I176" s="20" t="str">
        <f aca="false">IFERROR(C176/D176*1000,"")</f>
        <v/>
      </c>
      <c r="J176" s="5"/>
      <c r="K176" s="20" t="str">
        <f aca="false">IFERROR(C176/J176,"")</f>
        <v/>
      </c>
      <c r="L176" s="19" t="str">
        <f aca="false">IFERROR(J176/F176,"")</f>
        <v/>
      </c>
      <c r="M176" s="5"/>
      <c r="N176" s="5"/>
      <c r="O176" s="24"/>
    </row>
    <row r="177" customFormat="false" ht="21.75" hidden="false" customHeight="true" outlineLevel="0" collapsed="false">
      <c r="A177" s="17"/>
      <c r="B177" s="11"/>
      <c r="C177" s="12"/>
      <c r="D177" s="18"/>
      <c r="E177" s="18"/>
      <c r="F177" s="18"/>
      <c r="G177" s="19" t="str">
        <f aca="false">IFERROR(F177/D177,"")</f>
        <v/>
      </c>
      <c r="H177" s="20" t="str">
        <f aca="false">IFERROR(C177/F177,"")</f>
        <v/>
      </c>
      <c r="I177" s="20" t="str">
        <f aca="false">IFERROR(C177/D177*1000,"")</f>
        <v/>
      </c>
      <c r="J177" s="11"/>
      <c r="K177" s="20" t="str">
        <f aca="false">IFERROR(C177/J177,"")</f>
        <v/>
      </c>
      <c r="L177" s="19" t="str">
        <f aca="false">IFERROR(J177/F177,"")</f>
        <v/>
      </c>
      <c r="M177" s="11"/>
      <c r="N177" s="11"/>
      <c r="O177" s="21"/>
    </row>
    <row r="178" customFormat="false" ht="21.75" hidden="false" customHeight="true" outlineLevel="0" collapsed="false">
      <c r="A178" s="22"/>
      <c r="B178" s="5"/>
      <c r="C178" s="7"/>
      <c r="D178" s="23"/>
      <c r="E178" s="23"/>
      <c r="F178" s="23"/>
      <c r="G178" s="19" t="str">
        <f aca="false">IFERROR(F178/D178,"")</f>
        <v/>
      </c>
      <c r="H178" s="20" t="str">
        <f aca="false">IFERROR(C178/F178,"")</f>
        <v/>
      </c>
      <c r="I178" s="20" t="str">
        <f aca="false">IFERROR(C178/D178*1000,"")</f>
        <v/>
      </c>
      <c r="J178" s="5"/>
      <c r="K178" s="20" t="str">
        <f aca="false">IFERROR(C178/J178,"")</f>
        <v/>
      </c>
      <c r="L178" s="19" t="str">
        <f aca="false">IFERROR(J178/F178,"")</f>
        <v/>
      </c>
      <c r="M178" s="5"/>
      <c r="N178" s="5"/>
      <c r="O178" s="24"/>
    </row>
    <row r="179" customFormat="false" ht="21.75" hidden="false" customHeight="true" outlineLevel="0" collapsed="false">
      <c r="A179" s="17"/>
      <c r="B179" s="11"/>
      <c r="C179" s="12"/>
      <c r="D179" s="18"/>
      <c r="E179" s="18"/>
      <c r="F179" s="18"/>
      <c r="G179" s="19" t="str">
        <f aca="false">IFERROR(F179/D179,"")</f>
        <v/>
      </c>
      <c r="H179" s="20" t="str">
        <f aca="false">IFERROR(C179/F179,"")</f>
        <v/>
      </c>
      <c r="I179" s="20" t="str">
        <f aca="false">IFERROR(C179/D179*1000,"")</f>
        <v/>
      </c>
      <c r="J179" s="11"/>
      <c r="K179" s="20" t="str">
        <f aca="false">IFERROR(C179/J179,"")</f>
        <v/>
      </c>
      <c r="L179" s="19" t="str">
        <f aca="false">IFERROR(J179/F179,"")</f>
        <v/>
      </c>
      <c r="M179" s="11"/>
      <c r="N179" s="11"/>
      <c r="O179" s="21"/>
    </row>
    <row r="180" customFormat="false" ht="21.75" hidden="false" customHeight="true" outlineLevel="0" collapsed="false">
      <c r="A180" s="22"/>
      <c r="B180" s="5"/>
      <c r="C180" s="7"/>
      <c r="D180" s="23"/>
      <c r="E180" s="23"/>
      <c r="F180" s="23"/>
      <c r="G180" s="19" t="str">
        <f aca="false">IFERROR(F180/D180,"")</f>
        <v/>
      </c>
      <c r="H180" s="20" t="str">
        <f aca="false">IFERROR(C180/F180,"")</f>
        <v/>
      </c>
      <c r="I180" s="20" t="str">
        <f aca="false">IFERROR(C180/D180*1000,"")</f>
        <v/>
      </c>
      <c r="J180" s="5"/>
      <c r="K180" s="20" t="str">
        <f aca="false">IFERROR(C180/J180,"")</f>
        <v/>
      </c>
      <c r="L180" s="19" t="str">
        <f aca="false">IFERROR(J180/F180,"")</f>
        <v/>
      </c>
      <c r="M180" s="5"/>
      <c r="N180" s="5"/>
      <c r="O180" s="24"/>
    </row>
    <row r="181" customFormat="false" ht="21.75" hidden="false" customHeight="true" outlineLevel="0" collapsed="false">
      <c r="A181" s="17"/>
      <c r="B181" s="11"/>
      <c r="C181" s="12"/>
      <c r="D181" s="18"/>
      <c r="E181" s="18"/>
      <c r="F181" s="18"/>
      <c r="G181" s="19" t="str">
        <f aca="false">IFERROR(F181/D181,"")</f>
        <v/>
      </c>
      <c r="H181" s="20" t="str">
        <f aca="false">IFERROR(C181/F181,"")</f>
        <v/>
      </c>
      <c r="I181" s="20" t="str">
        <f aca="false">IFERROR(C181/D181*1000,"")</f>
        <v/>
      </c>
      <c r="J181" s="11"/>
      <c r="K181" s="20" t="str">
        <f aca="false">IFERROR(C181/J181,"")</f>
        <v/>
      </c>
      <c r="L181" s="19" t="str">
        <f aca="false">IFERROR(J181/F181,"")</f>
        <v/>
      </c>
      <c r="M181" s="11"/>
      <c r="N181" s="11"/>
      <c r="O181" s="21"/>
    </row>
    <row r="182" customFormat="false" ht="21.75" hidden="false" customHeight="true" outlineLevel="0" collapsed="false">
      <c r="A182" s="22"/>
      <c r="B182" s="5"/>
      <c r="C182" s="7"/>
      <c r="D182" s="23"/>
      <c r="E182" s="23"/>
      <c r="F182" s="23"/>
      <c r="G182" s="19" t="str">
        <f aca="false">IFERROR(F182/D182,"")</f>
        <v/>
      </c>
      <c r="H182" s="20" t="str">
        <f aca="false">IFERROR(C182/F182,"")</f>
        <v/>
      </c>
      <c r="I182" s="20" t="str">
        <f aca="false">IFERROR(C182/D182*1000,"")</f>
        <v/>
      </c>
      <c r="J182" s="5"/>
      <c r="K182" s="20" t="str">
        <f aca="false">IFERROR(C182/J182,"")</f>
        <v/>
      </c>
      <c r="L182" s="19" t="str">
        <f aca="false">IFERROR(J182/F182,"")</f>
        <v/>
      </c>
      <c r="M182" s="5"/>
      <c r="N182" s="5"/>
      <c r="O182" s="24"/>
    </row>
    <row r="183" customFormat="false" ht="21.75" hidden="false" customHeight="true" outlineLevel="0" collapsed="false">
      <c r="A183" s="17"/>
      <c r="B183" s="11"/>
      <c r="C183" s="12"/>
      <c r="D183" s="18"/>
      <c r="E183" s="18"/>
      <c r="F183" s="18"/>
      <c r="G183" s="19" t="str">
        <f aca="false">IFERROR(F183/D183,"")</f>
        <v/>
      </c>
      <c r="H183" s="20" t="str">
        <f aca="false">IFERROR(C183/F183,"")</f>
        <v/>
      </c>
      <c r="I183" s="20" t="str">
        <f aca="false">IFERROR(C183/D183*1000,"")</f>
        <v/>
      </c>
      <c r="J183" s="11"/>
      <c r="K183" s="20" t="str">
        <f aca="false">IFERROR(C183/J183,"")</f>
        <v/>
      </c>
      <c r="L183" s="19" t="str">
        <f aca="false">IFERROR(J183/F183,"")</f>
        <v/>
      </c>
      <c r="M183" s="11"/>
      <c r="N183" s="11"/>
      <c r="O183" s="21"/>
    </row>
    <row r="184" customFormat="false" ht="21.75" hidden="false" customHeight="true" outlineLevel="0" collapsed="false">
      <c r="A184" s="22"/>
      <c r="B184" s="5"/>
      <c r="C184" s="7"/>
      <c r="D184" s="23"/>
      <c r="E184" s="23"/>
      <c r="F184" s="23"/>
      <c r="G184" s="19" t="str">
        <f aca="false">IFERROR(F184/D184,"")</f>
        <v/>
      </c>
      <c r="H184" s="20" t="str">
        <f aca="false">IFERROR(C184/F184,"")</f>
        <v/>
      </c>
      <c r="I184" s="20" t="str">
        <f aca="false">IFERROR(C184/D184*1000,"")</f>
        <v/>
      </c>
      <c r="J184" s="5"/>
      <c r="K184" s="20" t="str">
        <f aca="false">IFERROR(C184/J184,"")</f>
        <v/>
      </c>
      <c r="L184" s="19" t="str">
        <f aca="false">IFERROR(J184/F184,"")</f>
        <v/>
      </c>
      <c r="M184" s="5"/>
      <c r="N184" s="5"/>
      <c r="O184" s="24"/>
    </row>
    <row r="185" customFormat="false" ht="21.75" hidden="false" customHeight="true" outlineLevel="0" collapsed="false">
      <c r="A185" s="17"/>
      <c r="B185" s="11"/>
      <c r="C185" s="12"/>
      <c r="D185" s="18"/>
      <c r="E185" s="18"/>
      <c r="F185" s="18"/>
      <c r="G185" s="19" t="str">
        <f aca="false">IFERROR(F185/D185,"")</f>
        <v/>
      </c>
      <c r="H185" s="20" t="str">
        <f aca="false">IFERROR(C185/F185,"")</f>
        <v/>
      </c>
      <c r="I185" s="20" t="str">
        <f aca="false">IFERROR(C185/D185*1000,"")</f>
        <v/>
      </c>
      <c r="J185" s="11"/>
      <c r="K185" s="20" t="str">
        <f aca="false">IFERROR(C185/J185,"")</f>
        <v/>
      </c>
      <c r="L185" s="19" t="str">
        <f aca="false">IFERROR(J185/F185,"")</f>
        <v/>
      </c>
      <c r="M185" s="11"/>
      <c r="N185" s="11"/>
      <c r="O185" s="21"/>
    </row>
    <row r="186" customFormat="false" ht="21.75" hidden="false" customHeight="true" outlineLevel="0" collapsed="false">
      <c r="A186" s="22"/>
      <c r="B186" s="5"/>
      <c r="C186" s="7"/>
      <c r="D186" s="23"/>
      <c r="E186" s="23"/>
      <c r="F186" s="23"/>
      <c r="G186" s="19" t="str">
        <f aca="false">IFERROR(F186/D186,"")</f>
        <v/>
      </c>
      <c r="H186" s="20" t="str">
        <f aca="false">IFERROR(C186/F186,"")</f>
        <v/>
      </c>
      <c r="I186" s="20" t="str">
        <f aca="false">IFERROR(C186/D186*1000,"")</f>
        <v/>
      </c>
      <c r="J186" s="5"/>
      <c r="K186" s="20" t="str">
        <f aca="false">IFERROR(C186/J186,"")</f>
        <v/>
      </c>
      <c r="L186" s="19" t="str">
        <f aca="false">IFERROR(J186/F186,"")</f>
        <v/>
      </c>
      <c r="M186" s="5"/>
      <c r="N186" s="5"/>
      <c r="O186" s="24"/>
    </row>
    <row r="187" customFormat="false" ht="21.75" hidden="false" customHeight="true" outlineLevel="0" collapsed="false">
      <c r="A187" s="17"/>
      <c r="B187" s="11"/>
      <c r="C187" s="12"/>
      <c r="D187" s="18"/>
      <c r="E187" s="18"/>
      <c r="F187" s="18"/>
      <c r="G187" s="19" t="str">
        <f aca="false">IFERROR(F187/D187,"")</f>
        <v/>
      </c>
      <c r="H187" s="20" t="str">
        <f aca="false">IFERROR(C187/F187,"")</f>
        <v/>
      </c>
      <c r="I187" s="20" t="str">
        <f aca="false">IFERROR(C187/D187*1000,"")</f>
        <v/>
      </c>
      <c r="J187" s="11"/>
      <c r="K187" s="20" t="str">
        <f aca="false">IFERROR(C187/J187,"")</f>
        <v/>
      </c>
      <c r="L187" s="19" t="str">
        <f aca="false">IFERROR(J187/F187,"")</f>
        <v/>
      </c>
      <c r="M187" s="11"/>
      <c r="N187" s="11"/>
      <c r="O187" s="21"/>
    </row>
    <row r="188" customFormat="false" ht="21.75" hidden="false" customHeight="true" outlineLevel="0" collapsed="false">
      <c r="A188" s="22"/>
      <c r="B188" s="5"/>
      <c r="C188" s="7"/>
      <c r="D188" s="23"/>
      <c r="E188" s="23"/>
      <c r="F188" s="23"/>
      <c r="G188" s="19" t="str">
        <f aca="false">IFERROR(F188/D188,"")</f>
        <v/>
      </c>
      <c r="H188" s="20" t="str">
        <f aca="false">IFERROR(C188/F188,"")</f>
        <v/>
      </c>
      <c r="I188" s="20" t="str">
        <f aca="false">IFERROR(C188/D188*1000,"")</f>
        <v/>
      </c>
      <c r="J188" s="5"/>
      <c r="K188" s="20" t="str">
        <f aca="false">IFERROR(C188/J188,"")</f>
        <v/>
      </c>
      <c r="L188" s="19" t="str">
        <f aca="false">IFERROR(J188/F188,"")</f>
        <v/>
      </c>
      <c r="M188" s="5"/>
      <c r="N188" s="5"/>
      <c r="O188" s="24"/>
    </row>
    <row r="189" customFormat="false" ht="21.75" hidden="false" customHeight="true" outlineLevel="0" collapsed="false">
      <c r="A189" s="17"/>
      <c r="B189" s="11"/>
      <c r="C189" s="12"/>
      <c r="D189" s="18"/>
      <c r="E189" s="18"/>
      <c r="F189" s="18"/>
      <c r="G189" s="19" t="str">
        <f aca="false">IFERROR(F189/D189,"")</f>
        <v/>
      </c>
      <c r="H189" s="20" t="str">
        <f aca="false">IFERROR(C189/F189,"")</f>
        <v/>
      </c>
      <c r="I189" s="20" t="str">
        <f aca="false">IFERROR(C189/D189*1000,"")</f>
        <v/>
      </c>
      <c r="J189" s="11"/>
      <c r="K189" s="20" t="str">
        <f aca="false">IFERROR(C189/J189,"")</f>
        <v/>
      </c>
      <c r="L189" s="19" t="str">
        <f aca="false">IFERROR(J189/F189,"")</f>
        <v/>
      </c>
      <c r="M189" s="11"/>
      <c r="N189" s="11"/>
      <c r="O189" s="21"/>
    </row>
    <row r="190" customFormat="false" ht="21.75" hidden="false" customHeight="true" outlineLevel="0" collapsed="false">
      <c r="A190" s="22"/>
      <c r="B190" s="5"/>
      <c r="C190" s="7"/>
      <c r="D190" s="23"/>
      <c r="E190" s="23"/>
      <c r="F190" s="23"/>
      <c r="G190" s="19" t="str">
        <f aca="false">IFERROR(F190/D190,"")</f>
        <v/>
      </c>
      <c r="H190" s="20" t="str">
        <f aca="false">IFERROR(C190/F190,"")</f>
        <v/>
      </c>
      <c r="I190" s="20" t="str">
        <f aca="false">IFERROR(C190/D190*1000,"")</f>
        <v/>
      </c>
      <c r="J190" s="5"/>
      <c r="K190" s="20" t="str">
        <f aca="false">IFERROR(C190/J190,"")</f>
        <v/>
      </c>
      <c r="L190" s="19" t="str">
        <f aca="false">IFERROR(J190/F190,"")</f>
        <v/>
      </c>
      <c r="M190" s="5"/>
      <c r="N190" s="5"/>
      <c r="O190" s="24"/>
    </row>
    <row r="191" customFormat="false" ht="21.75" hidden="false" customHeight="true" outlineLevel="0" collapsed="false">
      <c r="A191" s="17"/>
      <c r="B191" s="11"/>
      <c r="C191" s="12"/>
      <c r="D191" s="18"/>
      <c r="E191" s="18"/>
      <c r="F191" s="18"/>
      <c r="G191" s="19" t="str">
        <f aca="false">IFERROR(F191/D191,"")</f>
        <v/>
      </c>
      <c r="H191" s="20" t="str">
        <f aca="false">IFERROR(C191/F191,"")</f>
        <v/>
      </c>
      <c r="I191" s="20" t="str">
        <f aca="false">IFERROR(C191/D191*1000,"")</f>
        <v/>
      </c>
      <c r="J191" s="11"/>
      <c r="K191" s="20" t="str">
        <f aca="false">IFERROR(C191/J191,"")</f>
        <v/>
      </c>
      <c r="L191" s="19" t="str">
        <f aca="false">IFERROR(J191/F191,"")</f>
        <v/>
      </c>
      <c r="M191" s="11"/>
      <c r="N191" s="11"/>
      <c r="O191" s="21"/>
    </row>
    <row r="192" customFormat="false" ht="21.75" hidden="false" customHeight="true" outlineLevel="0" collapsed="false">
      <c r="A192" s="22"/>
      <c r="B192" s="5"/>
      <c r="C192" s="7"/>
      <c r="D192" s="23"/>
      <c r="E192" s="23"/>
      <c r="F192" s="23"/>
      <c r="G192" s="19" t="str">
        <f aca="false">IFERROR(F192/D192,"")</f>
        <v/>
      </c>
      <c r="H192" s="20" t="str">
        <f aca="false">IFERROR(C192/F192,"")</f>
        <v/>
      </c>
      <c r="I192" s="20" t="str">
        <f aca="false">IFERROR(C192/D192*1000,"")</f>
        <v/>
      </c>
      <c r="J192" s="5"/>
      <c r="K192" s="20" t="str">
        <f aca="false">IFERROR(C192/J192,"")</f>
        <v/>
      </c>
      <c r="L192" s="19" t="str">
        <f aca="false">IFERROR(J192/F192,"")</f>
        <v/>
      </c>
      <c r="M192" s="5"/>
      <c r="N192" s="5"/>
      <c r="O192" s="24"/>
    </row>
    <row r="193" customFormat="false" ht="21.75" hidden="false" customHeight="true" outlineLevel="0" collapsed="false">
      <c r="A193" s="17"/>
      <c r="B193" s="11"/>
      <c r="C193" s="12"/>
      <c r="D193" s="18"/>
      <c r="E193" s="18"/>
      <c r="F193" s="18"/>
      <c r="G193" s="19" t="str">
        <f aca="false">IFERROR(F193/D193,"")</f>
        <v/>
      </c>
      <c r="H193" s="20" t="str">
        <f aca="false">IFERROR(C193/F193,"")</f>
        <v/>
      </c>
      <c r="I193" s="20" t="str">
        <f aca="false">IFERROR(C193/D193*1000,"")</f>
        <v/>
      </c>
      <c r="J193" s="11"/>
      <c r="K193" s="20" t="str">
        <f aca="false">IFERROR(C193/J193,"")</f>
        <v/>
      </c>
      <c r="L193" s="19" t="str">
        <f aca="false">IFERROR(J193/F193,"")</f>
        <v/>
      </c>
      <c r="M193" s="11"/>
      <c r="N193" s="11"/>
      <c r="O193" s="21"/>
    </row>
    <row r="194" customFormat="false" ht="21.75" hidden="false" customHeight="true" outlineLevel="0" collapsed="false">
      <c r="A194" s="22"/>
      <c r="B194" s="5"/>
      <c r="C194" s="7"/>
      <c r="D194" s="23"/>
      <c r="E194" s="23"/>
      <c r="F194" s="23"/>
      <c r="G194" s="19" t="str">
        <f aca="false">IFERROR(F194/D194,"")</f>
        <v/>
      </c>
      <c r="H194" s="20" t="str">
        <f aca="false">IFERROR(C194/F194,"")</f>
        <v/>
      </c>
      <c r="I194" s="20" t="str">
        <f aca="false">IFERROR(C194/D194*1000,"")</f>
        <v/>
      </c>
      <c r="J194" s="5"/>
      <c r="K194" s="20" t="str">
        <f aca="false">IFERROR(C194/J194,"")</f>
        <v/>
      </c>
      <c r="L194" s="19" t="str">
        <f aca="false">IFERROR(J194/F194,"")</f>
        <v/>
      </c>
      <c r="M194" s="5"/>
      <c r="N194" s="5"/>
      <c r="O194" s="24"/>
    </row>
    <row r="195" customFormat="false" ht="21.75" hidden="false" customHeight="true" outlineLevel="0" collapsed="false">
      <c r="A195" s="17"/>
      <c r="B195" s="11"/>
      <c r="C195" s="12"/>
      <c r="D195" s="18"/>
      <c r="E195" s="18"/>
      <c r="F195" s="18"/>
      <c r="G195" s="19" t="str">
        <f aca="false">IFERROR(F195/D195,"")</f>
        <v/>
      </c>
      <c r="H195" s="20" t="str">
        <f aca="false">IFERROR(C195/F195,"")</f>
        <v/>
      </c>
      <c r="I195" s="20" t="str">
        <f aca="false">IFERROR(C195/D195*1000,"")</f>
        <v/>
      </c>
      <c r="J195" s="11"/>
      <c r="K195" s="20" t="str">
        <f aca="false">IFERROR(C195/J195,"")</f>
        <v/>
      </c>
      <c r="L195" s="19" t="str">
        <f aca="false">IFERROR(J195/F195,"")</f>
        <v/>
      </c>
      <c r="M195" s="11"/>
      <c r="N195" s="11"/>
      <c r="O195" s="21"/>
    </row>
    <row r="196" customFormat="false" ht="21.75" hidden="false" customHeight="true" outlineLevel="0" collapsed="false">
      <c r="A196" s="22"/>
      <c r="B196" s="5"/>
      <c r="C196" s="7"/>
      <c r="D196" s="23"/>
      <c r="E196" s="23"/>
      <c r="F196" s="23"/>
      <c r="G196" s="19" t="str">
        <f aca="false">IFERROR(F196/D196,"")</f>
        <v/>
      </c>
      <c r="H196" s="20" t="str">
        <f aca="false">IFERROR(C196/F196,"")</f>
        <v/>
      </c>
      <c r="I196" s="20" t="str">
        <f aca="false">IFERROR(C196/D196*1000,"")</f>
        <v/>
      </c>
      <c r="J196" s="5"/>
      <c r="K196" s="20" t="str">
        <f aca="false">IFERROR(C196/J196,"")</f>
        <v/>
      </c>
      <c r="L196" s="19" t="str">
        <f aca="false">IFERROR(J196/F196,"")</f>
        <v/>
      </c>
      <c r="M196" s="5"/>
      <c r="N196" s="5"/>
      <c r="O196" s="24"/>
    </row>
    <row r="197" customFormat="false" ht="21.75" hidden="false" customHeight="true" outlineLevel="0" collapsed="false">
      <c r="A197" s="17"/>
      <c r="B197" s="11"/>
      <c r="C197" s="12"/>
      <c r="D197" s="18"/>
      <c r="E197" s="18"/>
      <c r="F197" s="18"/>
      <c r="G197" s="19" t="str">
        <f aca="false">IFERROR(F197/D197,"")</f>
        <v/>
      </c>
      <c r="H197" s="20" t="str">
        <f aca="false">IFERROR(C197/F197,"")</f>
        <v/>
      </c>
      <c r="I197" s="20" t="str">
        <f aca="false">IFERROR(C197/D197*1000,"")</f>
        <v/>
      </c>
      <c r="J197" s="11"/>
      <c r="K197" s="20" t="str">
        <f aca="false">IFERROR(C197/J197,"")</f>
        <v/>
      </c>
      <c r="L197" s="19" t="str">
        <f aca="false">IFERROR(J197/F197,"")</f>
        <v/>
      </c>
      <c r="M197" s="11"/>
      <c r="N197" s="11"/>
      <c r="O197" s="21"/>
    </row>
    <row r="198" customFormat="false" ht="21.75" hidden="false" customHeight="true" outlineLevel="0" collapsed="false">
      <c r="A198" s="22"/>
      <c r="B198" s="5"/>
      <c r="C198" s="7"/>
      <c r="D198" s="23"/>
      <c r="E198" s="23"/>
      <c r="F198" s="23"/>
      <c r="G198" s="19" t="str">
        <f aca="false">IFERROR(F198/D198,"")</f>
        <v/>
      </c>
      <c r="H198" s="20" t="str">
        <f aca="false">IFERROR(C198/F198,"")</f>
        <v/>
      </c>
      <c r="I198" s="20" t="str">
        <f aca="false">IFERROR(C198/D198*1000,"")</f>
        <v/>
      </c>
      <c r="J198" s="5"/>
      <c r="K198" s="20" t="str">
        <f aca="false">IFERROR(C198/J198,"")</f>
        <v/>
      </c>
      <c r="L198" s="19" t="str">
        <f aca="false">IFERROR(J198/F198,"")</f>
        <v/>
      </c>
      <c r="M198" s="5"/>
      <c r="N198" s="5"/>
      <c r="O198" s="24"/>
    </row>
    <row r="199" customFormat="false" ht="21.75" hidden="false" customHeight="true" outlineLevel="0" collapsed="false">
      <c r="A199" s="17"/>
      <c r="B199" s="11"/>
      <c r="C199" s="12"/>
      <c r="D199" s="18"/>
      <c r="E199" s="18"/>
      <c r="F199" s="18"/>
      <c r="G199" s="19" t="str">
        <f aca="false">IFERROR(F199/D199,"")</f>
        <v/>
      </c>
      <c r="H199" s="20" t="str">
        <f aca="false">IFERROR(C199/F199,"")</f>
        <v/>
      </c>
      <c r="I199" s="20" t="str">
        <f aca="false">IFERROR(C199/D199*1000,"")</f>
        <v/>
      </c>
      <c r="J199" s="11"/>
      <c r="K199" s="20" t="str">
        <f aca="false">IFERROR(C199/J199,"")</f>
        <v/>
      </c>
      <c r="L199" s="19" t="str">
        <f aca="false">IFERROR(J199/F199,"")</f>
        <v/>
      </c>
      <c r="M199" s="11"/>
      <c r="N199" s="11"/>
      <c r="O199" s="21"/>
    </row>
    <row r="200" customFormat="false" ht="21.75" hidden="false" customHeight="true" outlineLevel="0" collapsed="false">
      <c r="A200" s="22"/>
      <c r="B200" s="5"/>
      <c r="C200" s="7"/>
      <c r="D200" s="23"/>
      <c r="E200" s="23"/>
      <c r="F200" s="23"/>
      <c r="G200" s="19" t="str">
        <f aca="false">IFERROR(F200/D200,"")</f>
        <v/>
      </c>
      <c r="H200" s="20" t="str">
        <f aca="false">IFERROR(C200/F200,"")</f>
        <v/>
      </c>
      <c r="I200" s="20" t="str">
        <f aca="false">IFERROR(C200/D200*1000,"")</f>
        <v/>
      </c>
      <c r="J200" s="5"/>
      <c r="K200" s="20" t="str">
        <f aca="false">IFERROR(C200/J200,"")</f>
        <v/>
      </c>
      <c r="L200" s="19" t="str">
        <f aca="false">IFERROR(J200/F200,"")</f>
        <v/>
      </c>
      <c r="M200" s="5"/>
      <c r="N200" s="5"/>
      <c r="O200" s="24"/>
    </row>
    <row r="201" customFormat="false" ht="21.75" hidden="false" customHeight="true" outlineLevel="0" collapsed="false">
      <c r="A201" s="17"/>
      <c r="B201" s="11"/>
      <c r="C201" s="12"/>
      <c r="D201" s="18"/>
      <c r="E201" s="18"/>
      <c r="F201" s="18"/>
      <c r="G201" s="19" t="str">
        <f aca="false">IFERROR(F201/D201,"")</f>
        <v/>
      </c>
      <c r="H201" s="20" t="str">
        <f aca="false">IFERROR(C201/F201,"")</f>
        <v/>
      </c>
      <c r="I201" s="20" t="str">
        <f aca="false">IFERROR(C201/D201*1000,"")</f>
        <v/>
      </c>
      <c r="J201" s="11"/>
      <c r="K201" s="20" t="str">
        <f aca="false">IFERROR(C201/J201,"")</f>
        <v/>
      </c>
      <c r="L201" s="19" t="str">
        <f aca="false">IFERROR(J201/F201,"")</f>
        <v/>
      </c>
      <c r="M201" s="11"/>
      <c r="N201" s="11"/>
      <c r="O201" s="21"/>
    </row>
    <row r="202" customFormat="false" ht="21.75" hidden="false" customHeight="true" outlineLevel="0" collapsed="false">
      <c r="A202" s="22"/>
      <c r="B202" s="5"/>
      <c r="C202" s="7"/>
      <c r="D202" s="23"/>
      <c r="E202" s="23"/>
      <c r="F202" s="23"/>
      <c r="G202" s="19" t="str">
        <f aca="false">IFERROR(F202/D202,"")</f>
        <v/>
      </c>
      <c r="H202" s="20" t="str">
        <f aca="false">IFERROR(C202/F202,"")</f>
        <v/>
      </c>
      <c r="I202" s="20" t="str">
        <f aca="false">IFERROR(C202/D202*1000,"")</f>
        <v/>
      </c>
      <c r="J202" s="5"/>
      <c r="K202" s="20" t="str">
        <f aca="false">IFERROR(C202/J202,"")</f>
        <v/>
      </c>
      <c r="L202" s="19" t="str">
        <f aca="false">IFERROR(J202/F202,"")</f>
        <v/>
      </c>
      <c r="M202" s="5"/>
      <c r="N202" s="5"/>
      <c r="O202" s="24"/>
    </row>
    <row r="203" customFormat="false" ht="21.75" hidden="false" customHeight="true" outlineLevel="0" collapsed="false">
      <c r="A203" s="17"/>
      <c r="B203" s="11"/>
      <c r="C203" s="12"/>
      <c r="D203" s="18"/>
      <c r="E203" s="18"/>
      <c r="F203" s="18"/>
      <c r="G203" s="19" t="str">
        <f aca="false">IFERROR(F203/D203,"")</f>
        <v/>
      </c>
      <c r="H203" s="20" t="str">
        <f aca="false">IFERROR(C203/F203,"")</f>
        <v/>
      </c>
      <c r="I203" s="20" t="str">
        <f aca="false">IFERROR(C203/D203*1000,"")</f>
        <v/>
      </c>
      <c r="J203" s="11"/>
      <c r="K203" s="20" t="str">
        <f aca="false">IFERROR(C203/J203,"")</f>
        <v/>
      </c>
      <c r="L203" s="19" t="str">
        <f aca="false">IFERROR(J203/F203,"")</f>
        <v/>
      </c>
      <c r="M203" s="11"/>
      <c r="N203" s="11"/>
      <c r="O203" s="21"/>
    </row>
    <row r="204" customFormat="false" ht="21.75" hidden="false" customHeight="true" outlineLevel="0" collapsed="false">
      <c r="A204" s="22"/>
      <c r="B204" s="5"/>
      <c r="C204" s="7"/>
      <c r="D204" s="23"/>
      <c r="E204" s="23"/>
      <c r="F204" s="23"/>
      <c r="G204" s="19" t="str">
        <f aca="false">IFERROR(F204/D204,"")</f>
        <v/>
      </c>
      <c r="H204" s="20" t="str">
        <f aca="false">IFERROR(C204/F204,"")</f>
        <v/>
      </c>
      <c r="I204" s="20" t="str">
        <f aca="false">IFERROR(C204/D204*1000,"")</f>
        <v/>
      </c>
      <c r="J204" s="5"/>
      <c r="K204" s="20" t="str">
        <f aca="false">IFERROR(C204/J204,"")</f>
        <v/>
      </c>
      <c r="L204" s="19" t="str">
        <f aca="false">IFERROR(J204/F204,"")</f>
        <v/>
      </c>
      <c r="M204" s="5"/>
      <c r="N204" s="5"/>
      <c r="O204" s="24"/>
    </row>
  </sheetData>
  <mergeCells count="5">
    <mergeCell ref="A1:O1"/>
    <mergeCell ref="A2:B2"/>
    <mergeCell ref="E2:F2"/>
    <mergeCell ref="H2:O2"/>
    <mergeCell ref="A3:O3"/>
  </mergeCells>
  <conditionalFormatting sqref="K5:K204">
    <cfRule type="expression" priority="2" aboveAverage="0" equalAverage="0" bottom="0" percent="0" rank="0" text="" dxfId="0">
      <formula>AND(B5="Meta Ads",ISNUMBER(K5),ISNUMBER($C$2),K5&lt;=$C$2)</formula>
    </cfRule>
    <cfRule type="expression" priority="3" aboveAverage="0" equalAverage="0" bottom="0" percent="0" rank="0" text="" dxfId="1">
      <formula>AND(B5="Meta Ads",ISNUMBER(K5),ISNUMBER($C$2),K5&gt;$C$2)</formula>
    </cfRule>
    <cfRule type="expression" priority="4" aboveAverage="0" equalAverage="0" bottom="0" percent="0" rank="0" text="" dxfId="0">
      <formula>AND(B5&lt;&gt;"Meta Ads",ISNUMBER(K5),ISNUMBER($G$2),K5&lt;=$G$2)</formula>
    </cfRule>
    <cfRule type="expression" priority="5" aboveAverage="0" equalAverage="0" bottom="0" percent="0" rank="0" text="" dxfId="1">
      <formula>AND(B5&lt;&gt;"Meta Ads",ISNUMBER(K5),ISNUMBER($G$2),K5&gt;$G$2)</formula>
    </cfRule>
  </conditionalFormatting>
  <dataValidations count="1">
    <dataValidation allowBlank="true" error="Selecione: Meta Ads, Google Search ou Google PMax" errorStyle="stop" errorTitle="Plataforma invalida" operator="between" showDropDown="false" showErrorMessage="true" showInputMessage="false" sqref="B5:B204" type="list">
      <formula1>"Meta Ads,Google Search,Google PMax"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4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5" min="4" style="0" width="13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9" min="8" style="0" width="11"/>
    <col collapsed="false" customWidth="true" hidden="false" outlineLevel="0" max="10" min="10" style="0" width="13"/>
    <col collapsed="false" customWidth="true" hidden="false" outlineLevel="0" max="12" min="11" style="0" width="12"/>
    <col collapsed="false" customWidth="true" hidden="false" outlineLevel="0" max="13" min="13" style="0" width="9"/>
    <col collapsed="false" customWidth="true" hidden="false" outlineLevel="0" max="14" min="14" style="0" width="12"/>
    <col collapsed="false" customWidth="true" hidden="false" outlineLevel="0" max="15" min="15" style="0" width="34"/>
  </cols>
  <sheetData>
    <row r="1" customFormat="false" ht="37.5" hidden="false" customHeight="true" outlineLevel="0" collapsed="false">
      <c r="A1" s="1" t="s">
        <v>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1.5" hidden="false" customHeight="true" outlineLevel="0" collapsed="false">
      <c r="A2" s="13" t="s">
        <v>22</v>
      </c>
      <c r="B2" s="13"/>
      <c r="C2" s="14"/>
      <c r="E2" s="13" t="s">
        <v>23</v>
      </c>
      <c r="F2" s="13"/>
      <c r="G2" s="14"/>
      <c r="H2" s="15" t="s">
        <v>24</v>
      </c>
      <c r="I2" s="15"/>
      <c r="J2" s="15"/>
      <c r="K2" s="15"/>
      <c r="L2" s="15"/>
      <c r="M2" s="15"/>
      <c r="N2" s="15"/>
      <c r="O2" s="15"/>
    </row>
    <row r="3" customFormat="false" ht="6" hidden="false" customHeight="true" outlineLevel="0" collapsed="false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customFormat="false" ht="48" hidden="false" customHeight="true" outlineLevel="0" collapsed="false">
      <c r="A4" s="3" t="s">
        <v>25</v>
      </c>
      <c r="B4" s="3" t="s">
        <v>3</v>
      </c>
      <c r="C4" s="3" t="s">
        <v>5</v>
      </c>
      <c r="D4" s="3" t="s">
        <v>26</v>
      </c>
      <c r="E4" s="3" t="s">
        <v>27</v>
      </c>
      <c r="F4" s="3" t="s">
        <v>28</v>
      </c>
      <c r="G4" s="3" t="s">
        <v>29</v>
      </c>
      <c r="H4" s="3" t="s">
        <v>30</v>
      </c>
      <c r="I4" s="3" t="s">
        <v>31</v>
      </c>
      <c r="J4" s="3" t="s">
        <v>32</v>
      </c>
      <c r="K4" s="3" t="s">
        <v>7</v>
      </c>
      <c r="L4" s="3" t="s">
        <v>33</v>
      </c>
      <c r="M4" s="3" t="s">
        <v>34</v>
      </c>
      <c r="N4" s="3" t="s">
        <v>35</v>
      </c>
      <c r="O4" s="3" t="s">
        <v>36</v>
      </c>
    </row>
    <row r="5" customFormat="false" ht="21.75" hidden="false" customHeight="true" outlineLevel="0" collapsed="false">
      <c r="A5" s="17"/>
      <c r="B5" s="11"/>
      <c r="C5" s="12"/>
      <c r="D5" s="18"/>
      <c r="E5" s="18"/>
      <c r="F5" s="18"/>
      <c r="G5" s="19" t="str">
        <f aca="false">IFERROR(F5/D5,"")</f>
        <v/>
      </c>
      <c r="H5" s="20" t="str">
        <f aca="false">IFERROR(C5/F5,"")</f>
        <v/>
      </c>
      <c r="I5" s="20" t="str">
        <f aca="false">IFERROR(C5/D5*1000,"")</f>
        <v/>
      </c>
      <c r="J5" s="11"/>
      <c r="K5" s="20" t="str">
        <f aca="false">IFERROR(C5/J5,"")</f>
        <v/>
      </c>
      <c r="L5" s="19" t="str">
        <f aca="false">IFERROR(J5/F5,"")</f>
        <v/>
      </c>
      <c r="M5" s="11"/>
      <c r="N5" s="11"/>
      <c r="O5" s="21"/>
    </row>
    <row r="6" customFormat="false" ht="21.75" hidden="false" customHeight="true" outlineLevel="0" collapsed="false">
      <c r="A6" s="22"/>
      <c r="B6" s="5"/>
      <c r="C6" s="7"/>
      <c r="D6" s="23"/>
      <c r="E6" s="23"/>
      <c r="F6" s="23"/>
      <c r="G6" s="19" t="str">
        <f aca="false">IFERROR(F6/D6,"")</f>
        <v/>
      </c>
      <c r="H6" s="20" t="str">
        <f aca="false">IFERROR(C6/F6,"")</f>
        <v/>
      </c>
      <c r="I6" s="20" t="str">
        <f aca="false">IFERROR(C6/D6*1000,"")</f>
        <v/>
      </c>
      <c r="J6" s="5"/>
      <c r="K6" s="20" t="str">
        <f aca="false">IFERROR(C6/J6,"")</f>
        <v/>
      </c>
      <c r="L6" s="19" t="str">
        <f aca="false">IFERROR(J6/F6,"")</f>
        <v/>
      </c>
      <c r="M6" s="5"/>
      <c r="N6" s="5"/>
      <c r="O6" s="24"/>
    </row>
    <row r="7" customFormat="false" ht="21.75" hidden="false" customHeight="true" outlineLevel="0" collapsed="false">
      <c r="A7" s="17"/>
      <c r="B7" s="11"/>
      <c r="C7" s="12"/>
      <c r="D7" s="18"/>
      <c r="E7" s="18"/>
      <c r="F7" s="18"/>
      <c r="G7" s="19" t="str">
        <f aca="false">IFERROR(F7/D7,"")</f>
        <v/>
      </c>
      <c r="H7" s="20" t="str">
        <f aca="false">IFERROR(C7/F7,"")</f>
        <v/>
      </c>
      <c r="I7" s="20" t="str">
        <f aca="false">IFERROR(C7/D7*1000,"")</f>
        <v/>
      </c>
      <c r="J7" s="11"/>
      <c r="K7" s="20" t="str">
        <f aca="false">IFERROR(C7/J7,"")</f>
        <v/>
      </c>
      <c r="L7" s="19" t="str">
        <f aca="false">IFERROR(J7/F7,"")</f>
        <v/>
      </c>
      <c r="M7" s="11"/>
      <c r="N7" s="11"/>
      <c r="O7" s="21"/>
    </row>
    <row r="8" customFormat="false" ht="21.75" hidden="false" customHeight="true" outlineLevel="0" collapsed="false">
      <c r="A8" s="22"/>
      <c r="B8" s="5"/>
      <c r="C8" s="7"/>
      <c r="D8" s="23"/>
      <c r="E8" s="23"/>
      <c r="F8" s="23"/>
      <c r="G8" s="19" t="str">
        <f aca="false">IFERROR(F8/D8,"")</f>
        <v/>
      </c>
      <c r="H8" s="20" t="str">
        <f aca="false">IFERROR(C8/F8,"")</f>
        <v/>
      </c>
      <c r="I8" s="20" t="str">
        <f aca="false">IFERROR(C8/D8*1000,"")</f>
        <v/>
      </c>
      <c r="J8" s="5"/>
      <c r="K8" s="20" t="str">
        <f aca="false">IFERROR(C8/J8,"")</f>
        <v/>
      </c>
      <c r="L8" s="19" t="str">
        <f aca="false">IFERROR(J8/F8,"")</f>
        <v/>
      </c>
      <c r="M8" s="5"/>
      <c r="N8" s="5"/>
      <c r="O8" s="24"/>
    </row>
    <row r="9" customFormat="false" ht="21.75" hidden="false" customHeight="true" outlineLevel="0" collapsed="false">
      <c r="A9" s="17"/>
      <c r="B9" s="11"/>
      <c r="C9" s="12"/>
      <c r="D9" s="18"/>
      <c r="E9" s="18"/>
      <c r="F9" s="18"/>
      <c r="G9" s="19" t="str">
        <f aca="false">IFERROR(F9/D9,"")</f>
        <v/>
      </c>
      <c r="H9" s="20" t="str">
        <f aca="false">IFERROR(C9/F9,"")</f>
        <v/>
      </c>
      <c r="I9" s="20" t="str">
        <f aca="false">IFERROR(C9/D9*1000,"")</f>
        <v/>
      </c>
      <c r="J9" s="11"/>
      <c r="K9" s="20" t="str">
        <f aca="false">IFERROR(C9/J9,"")</f>
        <v/>
      </c>
      <c r="L9" s="19" t="str">
        <f aca="false">IFERROR(J9/F9,"")</f>
        <v/>
      </c>
      <c r="M9" s="11"/>
      <c r="N9" s="11"/>
      <c r="O9" s="21"/>
    </row>
    <row r="10" customFormat="false" ht="21.75" hidden="false" customHeight="true" outlineLevel="0" collapsed="false">
      <c r="A10" s="22"/>
      <c r="B10" s="5"/>
      <c r="C10" s="7"/>
      <c r="D10" s="23"/>
      <c r="E10" s="23"/>
      <c r="F10" s="23"/>
      <c r="G10" s="19" t="str">
        <f aca="false">IFERROR(F10/D10,"")</f>
        <v/>
      </c>
      <c r="H10" s="20" t="str">
        <f aca="false">IFERROR(C10/F10,"")</f>
        <v/>
      </c>
      <c r="I10" s="20" t="str">
        <f aca="false">IFERROR(C10/D10*1000,"")</f>
        <v/>
      </c>
      <c r="J10" s="5"/>
      <c r="K10" s="20" t="str">
        <f aca="false">IFERROR(C10/J10,"")</f>
        <v/>
      </c>
      <c r="L10" s="19" t="str">
        <f aca="false">IFERROR(J10/F10,"")</f>
        <v/>
      </c>
      <c r="M10" s="5"/>
      <c r="N10" s="5"/>
      <c r="O10" s="24"/>
    </row>
    <row r="11" customFormat="false" ht="21.75" hidden="false" customHeight="true" outlineLevel="0" collapsed="false">
      <c r="A11" s="17"/>
      <c r="B11" s="11"/>
      <c r="C11" s="12"/>
      <c r="D11" s="18"/>
      <c r="E11" s="18"/>
      <c r="F11" s="18"/>
      <c r="G11" s="19" t="str">
        <f aca="false">IFERROR(F11/D11,"")</f>
        <v/>
      </c>
      <c r="H11" s="20" t="str">
        <f aca="false">IFERROR(C11/F11,"")</f>
        <v/>
      </c>
      <c r="I11" s="20" t="str">
        <f aca="false">IFERROR(C11/D11*1000,"")</f>
        <v/>
      </c>
      <c r="J11" s="11"/>
      <c r="K11" s="20" t="str">
        <f aca="false">IFERROR(C11/J11,"")</f>
        <v/>
      </c>
      <c r="L11" s="19" t="str">
        <f aca="false">IFERROR(J11/F11,"")</f>
        <v/>
      </c>
      <c r="M11" s="11"/>
      <c r="N11" s="11"/>
      <c r="O11" s="21"/>
    </row>
    <row r="12" customFormat="false" ht="21.75" hidden="false" customHeight="true" outlineLevel="0" collapsed="false">
      <c r="A12" s="22"/>
      <c r="B12" s="5"/>
      <c r="C12" s="7"/>
      <c r="D12" s="23"/>
      <c r="E12" s="23"/>
      <c r="F12" s="23"/>
      <c r="G12" s="19" t="str">
        <f aca="false">IFERROR(F12/D12,"")</f>
        <v/>
      </c>
      <c r="H12" s="20" t="str">
        <f aca="false">IFERROR(C12/F12,"")</f>
        <v/>
      </c>
      <c r="I12" s="20" t="str">
        <f aca="false">IFERROR(C12/D12*1000,"")</f>
        <v/>
      </c>
      <c r="J12" s="5"/>
      <c r="K12" s="20" t="str">
        <f aca="false">IFERROR(C12/J12,"")</f>
        <v/>
      </c>
      <c r="L12" s="19" t="str">
        <f aca="false">IFERROR(J12/F12,"")</f>
        <v/>
      </c>
      <c r="M12" s="5"/>
      <c r="N12" s="5"/>
      <c r="O12" s="24"/>
    </row>
    <row r="13" customFormat="false" ht="21.75" hidden="false" customHeight="true" outlineLevel="0" collapsed="false">
      <c r="A13" s="17"/>
      <c r="B13" s="11"/>
      <c r="C13" s="12"/>
      <c r="D13" s="18"/>
      <c r="E13" s="18"/>
      <c r="F13" s="18"/>
      <c r="G13" s="19" t="str">
        <f aca="false">IFERROR(F13/D13,"")</f>
        <v/>
      </c>
      <c r="H13" s="20" t="str">
        <f aca="false">IFERROR(C13/F13,"")</f>
        <v/>
      </c>
      <c r="I13" s="20" t="str">
        <f aca="false">IFERROR(C13/D13*1000,"")</f>
        <v/>
      </c>
      <c r="J13" s="11"/>
      <c r="K13" s="20" t="str">
        <f aca="false">IFERROR(C13/J13,"")</f>
        <v/>
      </c>
      <c r="L13" s="19" t="str">
        <f aca="false">IFERROR(J13/F13,"")</f>
        <v/>
      </c>
      <c r="M13" s="11"/>
      <c r="N13" s="11"/>
      <c r="O13" s="21"/>
    </row>
    <row r="14" customFormat="false" ht="21.75" hidden="false" customHeight="true" outlineLevel="0" collapsed="false">
      <c r="A14" s="22"/>
      <c r="B14" s="5"/>
      <c r="C14" s="7"/>
      <c r="D14" s="23"/>
      <c r="E14" s="23"/>
      <c r="F14" s="23"/>
      <c r="G14" s="19" t="str">
        <f aca="false">IFERROR(F14/D14,"")</f>
        <v/>
      </c>
      <c r="H14" s="20" t="str">
        <f aca="false">IFERROR(C14/F14,"")</f>
        <v/>
      </c>
      <c r="I14" s="20" t="str">
        <f aca="false">IFERROR(C14/D14*1000,"")</f>
        <v/>
      </c>
      <c r="J14" s="5"/>
      <c r="K14" s="20" t="str">
        <f aca="false">IFERROR(C14/J14,"")</f>
        <v/>
      </c>
      <c r="L14" s="19" t="str">
        <f aca="false">IFERROR(J14/F14,"")</f>
        <v/>
      </c>
      <c r="M14" s="5"/>
      <c r="N14" s="5"/>
      <c r="O14" s="24"/>
    </row>
    <row r="15" customFormat="false" ht="21.75" hidden="false" customHeight="true" outlineLevel="0" collapsed="false">
      <c r="A15" s="17"/>
      <c r="B15" s="11"/>
      <c r="C15" s="12"/>
      <c r="D15" s="18"/>
      <c r="E15" s="18"/>
      <c r="F15" s="18"/>
      <c r="G15" s="19" t="str">
        <f aca="false">IFERROR(F15/D15,"")</f>
        <v/>
      </c>
      <c r="H15" s="20" t="str">
        <f aca="false">IFERROR(C15/F15,"")</f>
        <v/>
      </c>
      <c r="I15" s="20" t="str">
        <f aca="false">IFERROR(C15/D15*1000,"")</f>
        <v/>
      </c>
      <c r="J15" s="11"/>
      <c r="K15" s="20" t="str">
        <f aca="false">IFERROR(C15/J15,"")</f>
        <v/>
      </c>
      <c r="L15" s="19" t="str">
        <f aca="false">IFERROR(J15/F15,"")</f>
        <v/>
      </c>
      <c r="M15" s="11"/>
      <c r="N15" s="11"/>
      <c r="O15" s="21"/>
    </row>
    <row r="16" customFormat="false" ht="21.75" hidden="false" customHeight="true" outlineLevel="0" collapsed="false">
      <c r="A16" s="22"/>
      <c r="B16" s="5"/>
      <c r="C16" s="7"/>
      <c r="D16" s="23"/>
      <c r="E16" s="23"/>
      <c r="F16" s="23"/>
      <c r="G16" s="19" t="str">
        <f aca="false">IFERROR(F16/D16,"")</f>
        <v/>
      </c>
      <c r="H16" s="20" t="str">
        <f aca="false">IFERROR(C16/F16,"")</f>
        <v/>
      </c>
      <c r="I16" s="20" t="str">
        <f aca="false">IFERROR(C16/D16*1000,"")</f>
        <v/>
      </c>
      <c r="J16" s="5"/>
      <c r="K16" s="20" t="str">
        <f aca="false">IFERROR(C16/J16,"")</f>
        <v/>
      </c>
      <c r="L16" s="19" t="str">
        <f aca="false">IFERROR(J16/F16,"")</f>
        <v/>
      </c>
      <c r="M16" s="5"/>
      <c r="N16" s="5"/>
      <c r="O16" s="24"/>
    </row>
    <row r="17" customFormat="false" ht="21.75" hidden="false" customHeight="true" outlineLevel="0" collapsed="false">
      <c r="A17" s="17"/>
      <c r="B17" s="11"/>
      <c r="C17" s="12"/>
      <c r="D17" s="18"/>
      <c r="E17" s="18"/>
      <c r="F17" s="18"/>
      <c r="G17" s="19" t="str">
        <f aca="false">IFERROR(F17/D17,"")</f>
        <v/>
      </c>
      <c r="H17" s="20" t="str">
        <f aca="false">IFERROR(C17/F17,"")</f>
        <v/>
      </c>
      <c r="I17" s="20" t="str">
        <f aca="false">IFERROR(C17/D17*1000,"")</f>
        <v/>
      </c>
      <c r="J17" s="11"/>
      <c r="K17" s="20" t="str">
        <f aca="false">IFERROR(C17/J17,"")</f>
        <v/>
      </c>
      <c r="L17" s="19" t="str">
        <f aca="false">IFERROR(J17/F17,"")</f>
        <v/>
      </c>
      <c r="M17" s="11"/>
      <c r="N17" s="11"/>
      <c r="O17" s="21"/>
    </row>
    <row r="18" customFormat="false" ht="21.75" hidden="false" customHeight="true" outlineLevel="0" collapsed="false">
      <c r="A18" s="22"/>
      <c r="B18" s="5"/>
      <c r="C18" s="7"/>
      <c r="D18" s="23"/>
      <c r="E18" s="23"/>
      <c r="F18" s="23"/>
      <c r="G18" s="19" t="str">
        <f aca="false">IFERROR(F18/D18,"")</f>
        <v/>
      </c>
      <c r="H18" s="20" t="str">
        <f aca="false">IFERROR(C18/F18,"")</f>
        <v/>
      </c>
      <c r="I18" s="20" t="str">
        <f aca="false">IFERROR(C18/D18*1000,"")</f>
        <v/>
      </c>
      <c r="J18" s="5"/>
      <c r="K18" s="20" t="str">
        <f aca="false">IFERROR(C18/J18,"")</f>
        <v/>
      </c>
      <c r="L18" s="19" t="str">
        <f aca="false">IFERROR(J18/F18,"")</f>
        <v/>
      </c>
      <c r="M18" s="5"/>
      <c r="N18" s="5"/>
      <c r="O18" s="24"/>
    </row>
    <row r="19" customFormat="false" ht="21.75" hidden="false" customHeight="true" outlineLevel="0" collapsed="false">
      <c r="A19" s="17"/>
      <c r="B19" s="11"/>
      <c r="C19" s="12"/>
      <c r="D19" s="18"/>
      <c r="E19" s="18"/>
      <c r="F19" s="18"/>
      <c r="G19" s="19" t="str">
        <f aca="false">IFERROR(F19/D19,"")</f>
        <v/>
      </c>
      <c r="H19" s="20" t="str">
        <f aca="false">IFERROR(C19/F19,"")</f>
        <v/>
      </c>
      <c r="I19" s="20" t="str">
        <f aca="false">IFERROR(C19/D19*1000,"")</f>
        <v/>
      </c>
      <c r="J19" s="11"/>
      <c r="K19" s="20" t="str">
        <f aca="false">IFERROR(C19/J19,"")</f>
        <v/>
      </c>
      <c r="L19" s="19" t="str">
        <f aca="false">IFERROR(J19/F19,"")</f>
        <v/>
      </c>
      <c r="M19" s="11"/>
      <c r="N19" s="11"/>
      <c r="O19" s="21"/>
    </row>
    <row r="20" customFormat="false" ht="21.75" hidden="false" customHeight="true" outlineLevel="0" collapsed="false">
      <c r="A20" s="22"/>
      <c r="B20" s="5"/>
      <c r="C20" s="7"/>
      <c r="D20" s="23"/>
      <c r="E20" s="23"/>
      <c r="F20" s="23"/>
      <c r="G20" s="19" t="str">
        <f aca="false">IFERROR(F20/D20,"")</f>
        <v/>
      </c>
      <c r="H20" s="20" t="str">
        <f aca="false">IFERROR(C20/F20,"")</f>
        <v/>
      </c>
      <c r="I20" s="20" t="str">
        <f aca="false">IFERROR(C20/D20*1000,"")</f>
        <v/>
      </c>
      <c r="J20" s="5"/>
      <c r="K20" s="20" t="str">
        <f aca="false">IFERROR(C20/J20,"")</f>
        <v/>
      </c>
      <c r="L20" s="19" t="str">
        <f aca="false">IFERROR(J20/F20,"")</f>
        <v/>
      </c>
      <c r="M20" s="5"/>
      <c r="N20" s="5"/>
      <c r="O20" s="24"/>
    </row>
    <row r="21" customFormat="false" ht="21.75" hidden="false" customHeight="true" outlineLevel="0" collapsed="false">
      <c r="A21" s="17"/>
      <c r="B21" s="11"/>
      <c r="C21" s="12"/>
      <c r="D21" s="18"/>
      <c r="E21" s="18"/>
      <c r="F21" s="18"/>
      <c r="G21" s="19" t="str">
        <f aca="false">IFERROR(F21/D21,"")</f>
        <v/>
      </c>
      <c r="H21" s="20" t="str">
        <f aca="false">IFERROR(C21/F21,"")</f>
        <v/>
      </c>
      <c r="I21" s="20" t="str">
        <f aca="false">IFERROR(C21/D21*1000,"")</f>
        <v/>
      </c>
      <c r="J21" s="11"/>
      <c r="K21" s="20" t="str">
        <f aca="false">IFERROR(C21/J21,"")</f>
        <v/>
      </c>
      <c r="L21" s="19" t="str">
        <f aca="false">IFERROR(J21/F21,"")</f>
        <v/>
      </c>
      <c r="M21" s="11"/>
      <c r="N21" s="11"/>
      <c r="O21" s="21"/>
    </row>
    <row r="22" customFormat="false" ht="21.75" hidden="false" customHeight="true" outlineLevel="0" collapsed="false">
      <c r="A22" s="22"/>
      <c r="B22" s="5"/>
      <c r="C22" s="7"/>
      <c r="D22" s="23"/>
      <c r="E22" s="23"/>
      <c r="F22" s="23"/>
      <c r="G22" s="19" t="str">
        <f aca="false">IFERROR(F22/D22,"")</f>
        <v/>
      </c>
      <c r="H22" s="20" t="str">
        <f aca="false">IFERROR(C22/F22,"")</f>
        <v/>
      </c>
      <c r="I22" s="20" t="str">
        <f aca="false">IFERROR(C22/D22*1000,"")</f>
        <v/>
      </c>
      <c r="J22" s="5"/>
      <c r="K22" s="20" t="str">
        <f aca="false">IFERROR(C22/J22,"")</f>
        <v/>
      </c>
      <c r="L22" s="19" t="str">
        <f aca="false">IFERROR(J22/F22,"")</f>
        <v/>
      </c>
      <c r="M22" s="5"/>
      <c r="N22" s="5"/>
      <c r="O22" s="24"/>
    </row>
    <row r="23" customFormat="false" ht="21.75" hidden="false" customHeight="true" outlineLevel="0" collapsed="false">
      <c r="A23" s="17"/>
      <c r="B23" s="11"/>
      <c r="C23" s="12"/>
      <c r="D23" s="18"/>
      <c r="E23" s="18"/>
      <c r="F23" s="18"/>
      <c r="G23" s="19" t="str">
        <f aca="false">IFERROR(F23/D23,"")</f>
        <v/>
      </c>
      <c r="H23" s="20" t="str">
        <f aca="false">IFERROR(C23/F23,"")</f>
        <v/>
      </c>
      <c r="I23" s="20" t="str">
        <f aca="false">IFERROR(C23/D23*1000,"")</f>
        <v/>
      </c>
      <c r="J23" s="11"/>
      <c r="K23" s="20" t="str">
        <f aca="false">IFERROR(C23/J23,"")</f>
        <v/>
      </c>
      <c r="L23" s="19" t="str">
        <f aca="false">IFERROR(J23/F23,"")</f>
        <v/>
      </c>
      <c r="M23" s="11"/>
      <c r="N23" s="11"/>
      <c r="O23" s="21"/>
    </row>
    <row r="24" customFormat="false" ht="21.75" hidden="false" customHeight="true" outlineLevel="0" collapsed="false">
      <c r="A24" s="22"/>
      <c r="B24" s="5"/>
      <c r="C24" s="7"/>
      <c r="D24" s="23"/>
      <c r="E24" s="23"/>
      <c r="F24" s="23"/>
      <c r="G24" s="19" t="str">
        <f aca="false">IFERROR(F24/D24,"")</f>
        <v/>
      </c>
      <c r="H24" s="20" t="str">
        <f aca="false">IFERROR(C24/F24,"")</f>
        <v/>
      </c>
      <c r="I24" s="20" t="str">
        <f aca="false">IFERROR(C24/D24*1000,"")</f>
        <v/>
      </c>
      <c r="J24" s="5"/>
      <c r="K24" s="20" t="str">
        <f aca="false">IFERROR(C24/J24,"")</f>
        <v/>
      </c>
      <c r="L24" s="19" t="str">
        <f aca="false">IFERROR(J24/F24,"")</f>
        <v/>
      </c>
      <c r="M24" s="5"/>
      <c r="N24" s="5"/>
      <c r="O24" s="24"/>
    </row>
    <row r="25" customFormat="false" ht="21.75" hidden="false" customHeight="true" outlineLevel="0" collapsed="false">
      <c r="A25" s="17"/>
      <c r="B25" s="11"/>
      <c r="C25" s="12"/>
      <c r="D25" s="18"/>
      <c r="E25" s="18"/>
      <c r="F25" s="18"/>
      <c r="G25" s="19" t="str">
        <f aca="false">IFERROR(F25/D25,"")</f>
        <v/>
      </c>
      <c r="H25" s="20" t="str">
        <f aca="false">IFERROR(C25/F25,"")</f>
        <v/>
      </c>
      <c r="I25" s="20" t="str">
        <f aca="false">IFERROR(C25/D25*1000,"")</f>
        <v/>
      </c>
      <c r="J25" s="11"/>
      <c r="K25" s="20" t="str">
        <f aca="false">IFERROR(C25/J25,"")</f>
        <v/>
      </c>
      <c r="L25" s="19" t="str">
        <f aca="false">IFERROR(J25/F25,"")</f>
        <v/>
      </c>
      <c r="M25" s="11"/>
      <c r="N25" s="11"/>
      <c r="O25" s="21"/>
    </row>
    <row r="26" customFormat="false" ht="21.75" hidden="false" customHeight="true" outlineLevel="0" collapsed="false">
      <c r="A26" s="22"/>
      <c r="B26" s="5"/>
      <c r="C26" s="7"/>
      <c r="D26" s="23"/>
      <c r="E26" s="23"/>
      <c r="F26" s="23"/>
      <c r="G26" s="19" t="str">
        <f aca="false">IFERROR(F26/D26,"")</f>
        <v/>
      </c>
      <c r="H26" s="20" t="str">
        <f aca="false">IFERROR(C26/F26,"")</f>
        <v/>
      </c>
      <c r="I26" s="20" t="str">
        <f aca="false">IFERROR(C26/D26*1000,"")</f>
        <v/>
      </c>
      <c r="J26" s="5"/>
      <c r="K26" s="20" t="str">
        <f aca="false">IFERROR(C26/J26,"")</f>
        <v/>
      </c>
      <c r="L26" s="19" t="str">
        <f aca="false">IFERROR(J26/F26,"")</f>
        <v/>
      </c>
      <c r="M26" s="5"/>
      <c r="N26" s="5"/>
      <c r="O26" s="24"/>
    </row>
    <row r="27" customFormat="false" ht="21.75" hidden="false" customHeight="true" outlineLevel="0" collapsed="false">
      <c r="A27" s="17"/>
      <c r="B27" s="11"/>
      <c r="C27" s="12"/>
      <c r="D27" s="18"/>
      <c r="E27" s="18"/>
      <c r="F27" s="18"/>
      <c r="G27" s="19" t="str">
        <f aca="false">IFERROR(F27/D27,"")</f>
        <v/>
      </c>
      <c r="H27" s="20" t="str">
        <f aca="false">IFERROR(C27/F27,"")</f>
        <v/>
      </c>
      <c r="I27" s="20" t="str">
        <f aca="false">IFERROR(C27/D27*1000,"")</f>
        <v/>
      </c>
      <c r="J27" s="11"/>
      <c r="K27" s="20" t="str">
        <f aca="false">IFERROR(C27/J27,"")</f>
        <v/>
      </c>
      <c r="L27" s="19" t="str">
        <f aca="false">IFERROR(J27/F27,"")</f>
        <v/>
      </c>
      <c r="M27" s="11"/>
      <c r="N27" s="11"/>
      <c r="O27" s="21"/>
    </row>
    <row r="28" customFormat="false" ht="21.75" hidden="false" customHeight="true" outlineLevel="0" collapsed="false">
      <c r="A28" s="22"/>
      <c r="B28" s="5"/>
      <c r="C28" s="7"/>
      <c r="D28" s="23"/>
      <c r="E28" s="23"/>
      <c r="F28" s="23"/>
      <c r="G28" s="19" t="str">
        <f aca="false">IFERROR(F28/D28,"")</f>
        <v/>
      </c>
      <c r="H28" s="20" t="str">
        <f aca="false">IFERROR(C28/F28,"")</f>
        <v/>
      </c>
      <c r="I28" s="20" t="str">
        <f aca="false">IFERROR(C28/D28*1000,"")</f>
        <v/>
      </c>
      <c r="J28" s="5"/>
      <c r="K28" s="20" t="str">
        <f aca="false">IFERROR(C28/J28,"")</f>
        <v/>
      </c>
      <c r="L28" s="19" t="str">
        <f aca="false">IFERROR(J28/F28,"")</f>
        <v/>
      </c>
      <c r="M28" s="5"/>
      <c r="N28" s="5"/>
      <c r="O28" s="24"/>
    </row>
    <row r="29" customFormat="false" ht="21.75" hidden="false" customHeight="true" outlineLevel="0" collapsed="false">
      <c r="A29" s="17"/>
      <c r="B29" s="11"/>
      <c r="C29" s="12"/>
      <c r="D29" s="18"/>
      <c r="E29" s="18"/>
      <c r="F29" s="18"/>
      <c r="G29" s="19" t="str">
        <f aca="false">IFERROR(F29/D29,"")</f>
        <v/>
      </c>
      <c r="H29" s="20" t="str">
        <f aca="false">IFERROR(C29/F29,"")</f>
        <v/>
      </c>
      <c r="I29" s="20" t="str">
        <f aca="false">IFERROR(C29/D29*1000,"")</f>
        <v/>
      </c>
      <c r="J29" s="11"/>
      <c r="K29" s="20" t="str">
        <f aca="false">IFERROR(C29/J29,"")</f>
        <v/>
      </c>
      <c r="L29" s="19" t="str">
        <f aca="false">IFERROR(J29/F29,"")</f>
        <v/>
      </c>
      <c r="M29" s="11"/>
      <c r="N29" s="11"/>
      <c r="O29" s="21"/>
    </row>
    <row r="30" customFormat="false" ht="21.75" hidden="false" customHeight="true" outlineLevel="0" collapsed="false">
      <c r="A30" s="22"/>
      <c r="B30" s="5"/>
      <c r="C30" s="7"/>
      <c r="D30" s="23"/>
      <c r="E30" s="23"/>
      <c r="F30" s="23"/>
      <c r="G30" s="19" t="str">
        <f aca="false">IFERROR(F30/D30,"")</f>
        <v/>
      </c>
      <c r="H30" s="20" t="str">
        <f aca="false">IFERROR(C30/F30,"")</f>
        <v/>
      </c>
      <c r="I30" s="20" t="str">
        <f aca="false">IFERROR(C30/D30*1000,"")</f>
        <v/>
      </c>
      <c r="J30" s="5"/>
      <c r="K30" s="20" t="str">
        <f aca="false">IFERROR(C30/J30,"")</f>
        <v/>
      </c>
      <c r="L30" s="19" t="str">
        <f aca="false">IFERROR(J30/F30,"")</f>
        <v/>
      </c>
      <c r="M30" s="5"/>
      <c r="N30" s="5"/>
      <c r="O30" s="24"/>
    </row>
    <row r="31" customFormat="false" ht="21.75" hidden="false" customHeight="true" outlineLevel="0" collapsed="false">
      <c r="A31" s="17"/>
      <c r="B31" s="11"/>
      <c r="C31" s="12"/>
      <c r="D31" s="18"/>
      <c r="E31" s="18"/>
      <c r="F31" s="18"/>
      <c r="G31" s="19" t="str">
        <f aca="false">IFERROR(F31/D31,"")</f>
        <v/>
      </c>
      <c r="H31" s="20" t="str">
        <f aca="false">IFERROR(C31/F31,"")</f>
        <v/>
      </c>
      <c r="I31" s="20" t="str">
        <f aca="false">IFERROR(C31/D31*1000,"")</f>
        <v/>
      </c>
      <c r="J31" s="11"/>
      <c r="K31" s="20" t="str">
        <f aca="false">IFERROR(C31/J31,"")</f>
        <v/>
      </c>
      <c r="L31" s="19" t="str">
        <f aca="false">IFERROR(J31/F31,"")</f>
        <v/>
      </c>
      <c r="M31" s="11"/>
      <c r="N31" s="11"/>
      <c r="O31" s="21"/>
    </row>
    <row r="32" customFormat="false" ht="21.75" hidden="false" customHeight="true" outlineLevel="0" collapsed="false">
      <c r="A32" s="22"/>
      <c r="B32" s="5"/>
      <c r="C32" s="7"/>
      <c r="D32" s="23"/>
      <c r="E32" s="23"/>
      <c r="F32" s="23"/>
      <c r="G32" s="19" t="str">
        <f aca="false">IFERROR(F32/D32,"")</f>
        <v/>
      </c>
      <c r="H32" s="20" t="str">
        <f aca="false">IFERROR(C32/F32,"")</f>
        <v/>
      </c>
      <c r="I32" s="20" t="str">
        <f aca="false">IFERROR(C32/D32*1000,"")</f>
        <v/>
      </c>
      <c r="J32" s="5"/>
      <c r="K32" s="20" t="str">
        <f aca="false">IFERROR(C32/J32,"")</f>
        <v/>
      </c>
      <c r="L32" s="19" t="str">
        <f aca="false">IFERROR(J32/F32,"")</f>
        <v/>
      </c>
      <c r="M32" s="5"/>
      <c r="N32" s="5"/>
      <c r="O32" s="24"/>
    </row>
    <row r="33" customFormat="false" ht="21.75" hidden="false" customHeight="true" outlineLevel="0" collapsed="false">
      <c r="A33" s="17"/>
      <c r="B33" s="11"/>
      <c r="C33" s="12"/>
      <c r="D33" s="18"/>
      <c r="E33" s="18"/>
      <c r="F33" s="18"/>
      <c r="G33" s="19" t="str">
        <f aca="false">IFERROR(F33/D33,"")</f>
        <v/>
      </c>
      <c r="H33" s="20" t="str">
        <f aca="false">IFERROR(C33/F33,"")</f>
        <v/>
      </c>
      <c r="I33" s="20" t="str">
        <f aca="false">IFERROR(C33/D33*1000,"")</f>
        <v/>
      </c>
      <c r="J33" s="11"/>
      <c r="K33" s="20" t="str">
        <f aca="false">IFERROR(C33/J33,"")</f>
        <v/>
      </c>
      <c r="L33" s="19" t="str">
        <f aca="false">IFERROR(J33/F33,"")</f>
        <v/>
      </c>
      <c r="M33" s="11"/>
      <c r="N33" s="11"/>
      <c r="O33" s="21"/>
    </row>
    <row r="34" customFormat="false" ht="21.75" hidden="false" customHeight="true" outlineLevel="0" collapsed="false">
      <c r="A34" s="22"/>
      <c r="B34" s="5"/>
      <c r="C34" s="7"/>
      <c r="D34" s="23"/>
      <c r="E34" s="23"/>
      <c r="F34" s="23"/>
      <c r="G34" s="19" t="str">
        <f aca="false">IFERROR(F34/D34,"")</f>
        <v/>
      </c>
      <c r="H34" s="20" t="str">
        <f aca="false">IFERROR(C34/F34,"")</f>
        <v/>
      </c>
      <c r="I34" s="20" t="str">
        <f aca="false">IFERROR(C34/D34*1000,"")</f>
        <v/>
      </c>
      <c r="J34" s="5"/>
      <c r="K34" s="20" t="str">
        <f aca="false">IFERROR(C34/J34,"")</f>
        <v/>
      </c>
      <c r="L34" s="19" t="str">
        <f aca="false">IFERROR(J34/F34,"")</f>
        <v/>
      </c>
      <c r="M34" s="5"/>
      <c r="N34" s="5"/>
      <c r="O34" s="24"/>
    </row>
    <row r="35" customFormat="false" ht="21.75" hidden="false" customHeight="true" outlineLevel="0" collapsed="false">
      <c r="A35" s="17"/>
      <c r="B35" s="11"/>
      <c r="C35" s="12"/>
      <c r="D35" s="18"/>
      <c r="E35" s="18"/>
      <c r="F35" s="18"/>
      <c r="G35" s="19" t="str">
        <f aca="false">IFERROR(F35/D35,"")</f>
        <v/>
      </c>
      <c r="H35" s="20" t="str">
        <f aca="false">IFERROR(C35/F35,"")</f>
        <v/>
      </c>
      <c r="I35" s="20" t="str">
        <f aca="false">IFERROR(C35/D35*1000,"")</f>
        <v/>
      </c>
      <c r="J35" s="11"/>
      <c r="K35" s="20" t="str">
        <f aca="false">IFERROR(C35/J35,"")</f>
        <v/>
      </c>
      <c r="L35" s="19" t="str">
        <f aca="false">IFERROR(J35/F35,"")</f>
        <v/>
      </c>
      <c r="M35" s="11"/>
      <c r="N35" s="11"/>
      <c r="O35" s="21"/>
    </row>
    <row r="36" customFormat="false" ht="21.75" hidden="false" customHeight="true" outlineLevel="0" collapsed="false">
      <c r="A36" s="22"/>
      <c r="B36" s="5"/>
      <c r="C36" s="7"/>
      <c r="D36" s="23"/>
      <c r="E36" s="23"/>
      <c r="F36" s="23"/>
      <c r="G36" s="19" t="str">
        <f aca="false">IFERROR(F36/D36,"")</f>
        <v/>
      </c>
      <c r="H36" s="20" t="str">
        <f aca="false">IFERROR(C36/F36,"")</f>
        <v/>
      </c>
      <c r="I36" s="20" t="str">
        <f aca="false">IFERROR(C36/D36*1000,"")</f>
        <v/>
      </c>
      <c r="J36" s="5"/>
      <c r="K36" s="20" t="str">
        <f aca="false">IFERROR(C36/J36,"")</f>
        <v/>
      </c>
      <c r="L36" s="19" t="str">
        <f aca="false">IFERROR(J36/F36,"")</f>
        <v/>
      </c>
      <c r="M36" s="5"/>
      <c r="N36" s="5"/>
      <c r="O36" s="24"/>
    </row>
    <row r="37" customFormat="false" ht="21.75" hidden="false" customHeight="true" outlineLevel="0" collapsed="false">
      <c r="A37" s="17"/>
      <c r="B37" s="11"/>
      <c r="C37" s="12"/>
      <c r="D37" s="18"/>
      <c r="E37" s="18"/>
      <c r="F37" s="18"/>
      <c r="G37" s="19" t="str">
        <f aca="false">IFERROR(F37/D37,"")</f>
        <v/>
      </c>
      <c r="H37" s="20" t="str">
        <f aca="false">IFERROR(C37/F37,"")</f>
        <v/>
      </c>
      <c r="I37" s="20" t="str">
        <f aca="false">IFERROR(C37/D37*1000,"")</f>
        <v/>
      </c>
      <c r="J37" s="11"/>
      <c r="K37" s="20" t="str">
        <f aca="false">IFERROR(C37/J37,"")</f>
        <v/>
      </c>
      <c r="L37" s="19" t="str">
        <f aca="false">IFERROR(J37/F37,"")</f>
        <v/>
      </c>
      <c r="M37" s="11"/>
      <c r="N37" s="11"/>
      <c r="O37" s="21"/>
    </row>
    <row r="38" customFormat="false" ht="21.75" hidden="false" customHeight="true" outlineLevel="0" collapsed="false">
      <c r="A38" s="22"/>
      <c r="B38" s="5"/>
      <c r="C38" s="7"/>
      <c r="D38" s="23"/>
      <c r="E38" s="23"/>
      <c r="F38" s="23"/>
      <c r="G38" s="19" t="str">
        <f aca="false">IFERROR(F38/D38,"")</f>
        <v/>
      </c>
      <c r="H38" s="20" t="str">
        <f aca="false">IFERROR(C38/F38,"")</f>
        <v/>
      </c>
      <c r="I38" s="20" t="str">
        <f aca="false">IFERROR(C38/D38*1000,"")</f>
        <v/>
      </c>
      <c r="J38" s="5"/>
      <c r="K38" s="20" t="str">
        <f aca="false">IFERROR(C38/J38,"")</f>
        <v/>
      </c>
      <c r="L38" s="19" t="str">
        <f aca="false">IFERROR(J38/F38,"")</f>
        <v/>
      </c>
      <c r="M38" s="5"/>
      <c r="N38" s="5"/>
      <c r="O38" s="24"/>
    </row>
    <row r="39" customFormat="false" ht="21.75" hidden="false" customHeight="true" outlineLevel="0" collapsed="false">
      <c r="A39" s="17"/>
      <c r="B39" s="11"/>
      <c r="C39" s="12"/>
      <c r="D39" s="18"/>
      <c r="E39" s="18"/>
      <c r="F39" s="18"/>
      <c r="G39" s="19" t="str">
        <f aca="false">IFERROR(F39/D39,"")</f>
        <v/>
      </c>
      <c r="H39" s="20" t="str">
        <f aca="false">IFERROR(C39/F39,"")</f>
        <v/>
      </c>
      <c r="I39" s="20" t="str">
        <f aca="false">IFERROR(C39/D39*1000,"")</f>
        <v/>
      </c>
      <c r="J39" s="11"/>
      <c r="K39" s="20" t="str">
        <f aca="false">IFERROR(C39/J39,"")</f>
        <v/>
      </c>
      <c r="L39" s="19" t="str">
        <f aca="false">IFERROR(J39/F39,"")</f>
        <v/>
      </c>
      <c r="M39" s="11"/>
      <c r="N39" s="11"/>
      <c r="O39" s="21"/>
    </row>
    <row r="40" customFormat="false" ht="21.75" hidden="false" customHeight="true" outlineLevel="0" collapsed="false">
      <c r="A40" s="22"/>
      <c r="B40" s="5"/>
      <c r="C40" s="7"/>
      <c r="D40" s="23"/>
      <c r="E40" s="23"/>
      <c r="F40" s="23"/>
      <c r="G40" s="19" t="str">
        <f aca="false">IFERROR(F40/D40,"")</f>
        <v/>
      </c>
      <c r="H40" s="20" t="str">
        <f aca="false">IFERROR(C40/F40,"")</f>
        <v/>
      </c>
      <c r="I40" s="20" t="str">
        <f aca="false">IFERROR(C40/D40*1000,"")</f>
        <v/>
      </c>
      <c r="J40" s="5"/>
      <c r="K40" s="20" t="str">
        <f aca="false">IFERROR(C40/J40,"")</f>
        <v/>
      </c>
      <c r="L40" s="19" t="str">
        <f aca="false">IFERROR(J40/F40,"")</f>
        <v/>
      </c>
      <c r="M40" s="5"/>
      <c r="N40" s="5"/>
      <c r="O40" s="24"/>
    </row>
    <row r="41" customFormat="false" ht="21.75" hidden="false" customHeight="true" outlineLevel="0" collapsed="false">
      <c r="A41" s="17"/>
      <c r="B41" s="11"/>
      <c r="C41" s="12"/>
      <c r="D41" s="18"/>
      <c r="E41" s="18"/>
      <c r="F41" s="18"/>
      <c r="G41" s="19" t="str">
        <f aca="false">IFERROR(F41/D41,"")</f>
        <v/>
      </c>
      <c r="H41" s="20" t="str">
        <f aca="false">IFERROR(C41/F41,"")</f>
        <v/>
      </c>
      <c r="I41" s="20" t="str">
        <f aca="false">IFERROR(C41/D41*1000,"")</f>
        <v/>
      </c>
      <c r="J41" s="11"/>
      <c r="K41" s="20" t="str">
        <f aca="false">IFERROR(C41/J41,"")</f>
        <v/>
      </c>
      <c r="L41" s="19" t="str">
        <f aca="false">IFERROR(J41/F41,"")</f>
        <v/>
      </c>
      <c r="M41" s="11"/>
      <c r="N41" s="11"/>
      <c r="O41" s="21"/>
    </row>
    <row r="42" customFormat="false" ht="21.75" hidden="false" customHeight="true" outlineLevel="0" collapsed="false">
      <c r="A42" s="22"/>
      <c r="B42" s="5"/>
      <c r="C42" s="7"/>
      <c r="D42" s="23"/>
      <c r="E42" s="23"/>
      <c r="F42" s="23"/>
      <c r="G42" s="19" t="str">
        <f aca="false">IFERROR(F42/D42,"")</f>
        <v/>
      </c>
      <c r="H42" s="20" t="str">
        <f aca="false">IFERROR(C42/F42,"")</f>
        <v/>
      </c>
      <c r="I42" s="20" t="str">
        <f aca="false">IFERROR(C42/D42*1000,"")</f>
        <v/>
      </c>
      <c r="J42" s="5"/>
      <c r="K42" s="20" t="str">
        <f aca="false">IFERROR(C42/J42,"")</f>
        <v/>
      </c>
      <c r="L42" s="19" t="str">
        <f aca="false">IFERROR(J42/F42,"")</f>
        <v/>
      </c>
      <c r="M42" s="5"/>
      <c r="N42" s="5"/>
      <c r="O42" s="24"/>
    </row>
    <row r="43" customFormat="false" ht="21.75" hidden="false" customHeight="true" outlineLevel="0" collapsed="false">
      <c r="A43" s="17"/>
      <c r="B43" s="11"/>
      <c r="C43" s="12"/>
      <c r="D43" s="18"/>
      <c r="E43" s="18"/>
      <c r="F43" s="18"/>
      <c r="G43" s="19" t="str">
        <f aca="false">IFERROR(F43/D43,"")</f>
        <v/>
      </c>
      <c r="H43" s="20" t="str">
        <f aca="false">IFERROR(C43/F43,"")</f>
        <v/>
      </c>
      <c r="I43" s="20" t="str">
        <f aca="false">IFERROR(C43/D43*1000,"")</f>
        <v/>
      </c>
      <c r="J43" s="11"/>
      <c r="K43" s="20" t="str">
        <f aca="false">IFERROR(C43/J43,"")</f>
        <v/>
      </c>
      <c r="L43" s="19" t="str">
        <f aca="false">IFERROR(J43/F43,"")</f>
        <v/>
      </c>
      <c r="M43" s="11"/>
      <c r="N43" s="11"/>
      <c r="O43" s="21"/>
    </row>
    <row r="44" customFormat="false" ht="21.75" hidden="false" customHeight="true" outlineLevel="0" collapsed="false">
      <c r="A44" s="22"/>
      <c r="B44" s="5"/>
      <c r="C44" s="7"/>
      <c r="D44" s="23"/>
      <c r="E44" s="23"/>
      <c r="F44" s="23"/>
      <c r="G44" s="19" t="str">
        <f aca="false">IFERROR(F44/D44,"")</f>
        <v/>
      </c>
      <c r="H44" s="20" t="str">
        <f aca="false">IFERROR(C44/F44,"")</f>
        <v/>
      </c>
      <c r="I44" s="20" t="str">
        <f aca="false">IFERROR(C44/D44*1000,"")</f>
        <v/>
      </c>
      <c r="J44" s="5"/>
      <c r="K44" s="20" t="str">
        <f aca="false">IFERROR(C44/J44,"")</f>
        <v/>
      </c>
      <c r="L44" s="19" t="str">
        <f aca="false">IFERROR(J44/F44,"")</f>
        <v/>
      </c>
      <c r="M44" s="5"/>
      <c r="N44" s="5"/>
      <c r="O44" s="24"/>
    </row>
    <row r="45" customFormat="false" ht="21.75" hidden="false" customHeight="true" outlineLevel="0" collapsed="false">
      <c r="A45" s="17"/>
      <c r="B45" s="11"/>
      <c r="C45" s="12"/>
      <c r="D45" s="18"/>
      <c r="E45" s="18"/>
      <c r="F45" s="18"/>
      <c r="G45" s="19" t="str">
        <f aca="false">IFERROR(F45/D45,"")</f>
        <v/>
      </c>
      <c r="H45" s="20" t="str">
        <f aca="false">IFERROR(C45/F45,"")</f>
        <v/>
      </c>
      <c r="I45" s="20" t="str">
        <f aca="false">IFERROR(C45/D45*1000,"")</f>
        <v/>
      </c>
      <c r="J45" s="11"/>
      <c r="K45" s="20" t="str">
        <f aca="false">IFERROR(C45/J45,"")</f>
        <v/>
      </c>
      <c r="L45" s="19" t="str">
        <f aca="false">IFERROR(J45/F45,"")</f>
        <v/>
      </c>
      <c r="M45" s="11"/>
      <c r="N45" s="11"/>
      <c r="O45" s="21"/>
    </row>
    <row r="46" customFormat="false" ht="21.75" hidden="false" customHeight="true" outlineLevel="0" collapsed="false">
      <c r="A46" s="22"/>
      <c r="B46" s="5"/>
      <c r="C46" s="7"/>
      <c r="D46" s="23"/>
      <c r="E46" s="23"/>
      <c r="F46" s="23"/>
      <c r="G46" s="19" t="str">
        <f aca="false">IFERROR(F46/D46,"")</f>
        <v/>
      </c>
      <c r="H46" s="20" t="str">
        <f aca="false">IFERROR(C46/F46,"")</f>
        <v/>
      </c>
      <c r="I46" s="20" t="str">
        <f aca="false">IFERROR(C46/D46*1000,"")</f>
        <v/>
      </c>
      <c r="J46" s="5"/>
      <c r="K46" s="20" t="str">
        <f aca="false">IFERROR(C46/J46,"")</f>
        <v/>
      </c>
      <c r="L46" s="19" t="str">
        <f aca="false">IFERROR(J46/F46,"")</f>
        <v/>
      </c>
      <c r="M46" s="5"/>
      <c r="N46" s="5"/>
      <c r="O46" s="24"/>
    </row>
    <row r="47" customFormat="false" ht="21.75" hidden="false" customHeight="true" outlineLevel="0" collapsed="false">
      <c r="A47" s="17"/>
      <c r="B47" s="11"/>
      <c r="C47" s="12"/>
      <c r="D47" s="18"/>
      <c r="E47" s="18"/>
      <c r="F47" s="18"/>
      <c r="G47" s="19" t="str">
        <f aca="false">IFERROR(F47/D47,"")</f>
        <v/>
      </c>
      <c r="H47" s="20" t="str">
        <f aca="false">IFERROR(C47/F47,"")</f>
        <v/>
      </c>
      <c r="I47" s="20" t="str">
        <f aca="false">IFERROR(C47/D47*1000,"")</f>
        <v/>
      </c>
      <c r="J47" s="11"/>
      <c r="K47" s="20" t="str">
        <f aca="false">IFERROR(C47/J47,"")</f>
        <v/>
      </c>
      <c r="L47" s="19" t="str">
        <f aca="false">IFERROR(J47/F47,"")</f>
        <v/>
      </c>
      <c r="M47" s="11"/>
      <c r="N47" s="11"/>
      <c r="O47" s="21"/>
    </row>
    <row r="48" customFormat="false" ht="21.75" hidden="false" customHeight="true" outlineLevel="0" collapsed="false">
      <c r="A48" s="22"/>
      <c r="B48" s="5"/>
      <c r="C48" s="7"/>
      <c r="D48" s="23"/>
      <c r="E48" s="23"/>
      <c r="F48" s="23"/>
      <c r="G48" s="19" t="str">
        <f aca="false">IFERROR(F48/D48,"")</f>
        <v/>
      </c>
      <c r="H48" s="20" t="str">
        <f aca="false">IFERROR(C48/F48,"")</f>
        <v/>
      </c>
      <c r="I48" s="20" t="str">
        <f aca="false">IFERROR(C48/D48*1000,"")</f>
        <v/>
      </c>
      <c r="J48" s="5"/>
      <c r="K48" s="20" t="str">
        <f aca="false">IFERROR(C48/J48,"")</f>
        <v/>
      </c>
      <c r="L48" s="19" t="str">
        <f aca="false">IFERROR(J48/F48,"")</f>
        <v/>
      </c>
      <c r="M48" s="5"/>
      <c r="N48" s="5"/>
      <c r="O48" s="24"/>
    </row>
    <row r="49" customFormat="false" ht="21.75" hidden="false" customHeight="true" outlineLevel="0" collapsed="false">
      <c r="A49" s="17"/>
      <c r="B49" s="11"/>
      <c r="C49" s="12"/>
      <c r="D49" s="18"/>
      <c r="E49" s="18"/>
      <c r="F49" s="18"/>
      <c r="G49" s="19" t="str">
        <f aca="false">IFERROR(F49/D49,"")</f>
        <v/>
      </c>
      <c r="H49" s="20" t="str">
        <f aca="false">IFERROR(C49/F49,"")</f>
        <v/>
      </c>
      <c r="I49" s="20" t="str">
        <f aca="false">IFERROR(C49/D49*1000,"")</f>
        <v/>
      </c>
      <c r="J49" s="11"/>
      <c r="K49" s="20" t="str">
        <f aca="false">IFERROR(C49/J49,"")</f>
        <v/>
      </c>
      <c r="L49" s="19" t="str">
        <f aca="false">IFERROR(J49/F49,"")</f>
        <v/>
      </c>
      <c r="M49" s="11"/>
      <c r="N49" s="11"/>
      <c r="O49" s="21"/>
    </row>
    <row r="50" customFormat="false" ht="21.75" hidden="false" customHeight="true" outlineLevel="0" collapsed="false">
      <c r="A50" s="22"/>
      <c r="B50" s="5"/>
      <c r="C50" s="7"/>
      <c r="D50" s="23"/>
      <c r="E50" s="23"/>
      <c r="F50" s="23"/>
      <c r="G50" s="19" t="str">
        <f aca="false">IFERROR(F50/D50,"")</f>
        <v/>
      </c>
      <c r="H50" s="20" t="str">
        <f aca="false">IFERROR(C50/F50,"")</f>
        <v/>
      </c>
      <c r="I50" s="20" t="str">
        <f aca="false">IFERROR(C50/D50*1000,"")</f>
        <v/>
      </c>
      <c r="J50" s="5"/>
      <c r="K50" s="20" t="str">
        <f aca="false">IFERROR(C50/J50,"")</f>
        <v/>
      </c>
      <c r="L50" s="19" t="str">
        <f aca="false">IFERROR(J50/F50,"")</f>
        <v/>
      </c>
      <c r="M50" s="5"/>
      <c r="N50" s="5"/>
      <c r="O50" s="24"/>
    </row>
    <row r="51" customFormat="false" ht="21.75" hidden="false" customHeight="true" outlineLevel="0" collapsed="false">
      <c r="A51" s="17"/>
      <c r="B51" s="11"/>
      <c r="C51" s="12"/>
      <c r="D51" s="18"/>
      <c r="E51" s="18"/>
      <c r="F51" s="18"/>
      <c r="G51" s="19" t="str">
        <f aca="false">IFERROR(F51/D51,"")</f>
        <v/>
      </c>
      <c r="H51" s="20" t="str">
        <f aca="false">IFERROR(C51/F51,"")</f>
        <v/>
      </c>
      <c r="I51" s="20" t="str">
        <f aca="false">IFERROR(C51/D51*1000,"")</f>
        <v/>
      </c>
      <c r="J51" s="11"/>
      <c r="K51" s="20" t="str">
        <f aca="false">IFERROR(C51/J51,"")</f>
        <v/>
      </c>
      <c r="L51" s="19" t="str">
        <f aca="false">IFERROR(J51/F51,"")</f>
        <v/>
      </c>
      <c r="M51" s="11"/>
      <c r="N51" s="11"/>
      <c r="O51" s="21"/>
    </row>
    <row r="52" customFormat="false" ht="21.75" hidden="false" customHeight="true" outlineLevel="0" collapsed="false">
      <c r="A52" s="22"/>
      <c r="B52" s="5"/>
      <c r="C52" s="7"/>
      <c r="D52" s="23"/>
      <c r="E52" s="23"/>
      <c r="F52" s="23"/>
      <c r="G52" s="19" t="str">
        <f aca="false">IFERROR(F52/D52,"")</f>
        <v/>
      </c>
      <c r="H52" s="20" t="str">
        <f aca="false">IFERROR(C52/F52,"")</f>
        <v/>
      </c>
      <c r="I52" s="20" t="str">
        <f aca="false">IFERROR(C52/D52*1000,"")</f>
        <v/>
      </c>
      <c r="J52" s="5"/>
      <c r="K52" s="20" t="str">
        <f aca="false">IFERROR(C52/J52,"")</f>
        <v/>
      </c>
      <c r="L52" s="19" t="str">
        <f aca="false">IFERROR(J52/F52,"")</f>
        <v/>
      </c>
      <c r="M52" s="5"/>
      <c r="N52" s="5"/>
      <c r="O52" s="24"/>
    </row>
    <row r="53" customFormat="false" ht="21.75" hidden="false" customHeight="true" outlineLevel="0" collapsed="false">
      <c r="A53" s="17"/>
      <c r="B53" s="11"/>
      <c r="C53" s="12"/>
      <c r="D53" s="18"/>
      <c r="E53" s="18"/>
      <c r="F53" s="18"/>
      <c r="G53" s="19" t="str">
        <f aca="false">IFERROR(F53/D53,"")</f>
        <v/>
      </c>
      <c r="H53" s="20" t="str">
        <f aca="false">IFERROR(C53/F53,"")</f>
        <v/>
      </c>
      <c r="I53" s="20" t="str">
        <f aca="false">IFERROR(C53/D53*1000,"")</f>
        <v/>
      </c>
      <c r="J53" s="11"/>
      <c r="K53" s="20" t="str">
        <f aca="false">IFERROR(C53/J53,"")</f>
        <v/>
      </c>
      <c r="L53" s="19" t="str">
        <f aca="false">IFERROR(J53/F53,"")</f>
        <v/>
      </c>
      <c r="M53" s="11"/>
      <c r="N53" s="11"/>
      <c r="O53" s="21"/>
    </row>
    <row r="54" customFormat="false" ht="21.75" hidden="false" customHeight="true" outlineLevel="0" collapsed="false">
      <c r="A54" s="22"/>
      <c r="B54" s="5"/>
      <c r="C54" s="7"/>
      <c r="D54" s="23"/>
      <c r="E54" s="23"/>
      <c r="F54" s="23"/>
      <c r="G54" s="19" t="str">
        <f aca="false">IFERROR(F54/D54,"")</f>
        <v/>
      </c>
      <c r="H54" s="20" t="str">
        <f aca="false">IFERROR(C54/F54,"")</f>
        <v/>
      </c>
      <c r="I54" s="20" t="str">
        <f aca="false">IFERROR(C54/D54*1000,"")</f>
        <v/>
      </c>
      <c r="J54" s="5"/>
      <c r="K54" s="20" t="str">
        <f aca="false">IFERROR(C54/J54,"")</f>
        <v/>
      </c>
      <c r="L54" s="19" t="str">
        <f aca="false">IFERROR(J54/F54,"")</f>
        <v/>
      </c>
      <c r="M54" s="5"/>
      <c r="N54" s="5"/>
      <c r="O54" s="24"/>
    </row>
    <row r="55" customFormat="false" ht="21.75" hidden="false" customHeight="true" outlineLevel="0" collapsed="false">
      <c r="A55" s="17"/>
      <c r="B55" s="11"/>
      <c r="C55" s="12"/>
      <c r="D55" s="18"/>
      <c r="E55" s="18"/>
      <c r="F55" s="18"/>
      <c r="G55" s="19" t="str">
        <f aca="false">IFERROR(F55/D55,"")</f>
        <v/>
      </c>
      <c r="H55" s="20" t="str">
        <f aca="false">IFERROR(C55/F55,"")</f>
        <v/>
      </c>
      <c r="I55" s="20" t="str">
        <f aca="false">IFERROR(C55/D55*1000,"")</f>
        <v/>
      </c>
      <c r="J55" s="11"/>
      <c r="K55" s="20" t="str">
        <f aca="false">IFERROR(C55/J55,"")</f>
        <v/>
      </c>
      <c r="L55" s="19" t="str">
        <f aca="false">IFERROR(J55/F55,"")</f>
        <v/>
      </c>
      <c r="M55" s="11"/>
      <c r="N55" s="11"/>
      <c r="O55" s="21"/>
    </row>
    <row r="56" customFormat="false" ht="21.75" hidden="false" customHeight="true" outlineLevel="0" collapsed="false">
      <c r="A56" s="22"/>
      <c r="B56" s="5"/>
      <c r="C56" s="7"/>
      <c r="D56" s="23"/>
      <c r="E56" s="23"/>
      <c r="F56" s="23"/>
      <c r="G56" s="19" t="str">
        <f aca="false">IFERROR(F56/D56,"")</f>
        <v/>
      </c>
      <c r="H56" s="20" t="str">
        <f aca="false">IFERROR(C56/F56,"")</f>
        <v/>
      </c>
      <c r="I56" s="20" t="str">
        <f aca="false">IFERROR(C56/D56*1000,"")</f>
        <v/>
      </c>
      <c r="J56" s="5"/>
      <c r="K56" s="20" t="str">
        <f aca="false">IFERROR(C56/J56,"")</f>
        <v/>
      </c>
      <c r="L56" s="19" t="str">
        <f aca="false">IFERROR(J56/F56,"")</f>
        <v/>
      </c>
      <c r="M56" s="5"/>
      <c r="N56" s="5"/>
      <c r="O56" s="24"/>
    </row>
    <row r="57" customFormat="false" ht="21.75" hidden="false" customHeight="true" outlineLevel="0" collapsed="false">
      <c r="A57" s="17"/>
      <c r="B57" s="11"/>
      <c r="C57" s="12"/>
      <c r="D57" s="18"/>
      <c r="E57" s="18"/>
      <c r="F57" s="18"/>
      <c r="G57" s="19" t="str">
        <f aca="false">IFERROR(F57/D57,"")</f>
        <v/>
      </c>
      <c r="H57" s="20" t="str">
        <f aca="false">IFERROR(C57/F57,"")</f>
        <v/>
      </c>
      <c r="I57" s="20" t="str">
        <f aca="false">IFERROR(C57/D57*1000,"")</f>
        <v/>
      </c>
      <c r="J57" s="11"/>
      <c r="K57" s="20" t="str">
        <f aca="false">IFERROR(C57/J57,"")</f>
        <v/>
      </c>
      <c r="L57" s="19" t="str">
        <f aca="false">IFERROR(J57/F57,"")</f>
        <v/>
      </c>
      <c r="M57" s="11"/>
      <c r="N57" s="11"/>
      <c r="O57" s="21"/>
    </row>
    <row r="58" customFormat="false" ht="21.75" hidden="false" customHeight="true" outlineLevel="0" collapsed="false">
      <c r="A58" s="22"/>
      <c r="B58" s="5"/>
      <c r="C58" s="7"/>
      <c r="D58" s="23"/>
      <c r="E58" s="23"/>
      <c r="F58" s="23"/>
      <c r="G58" s="19" t="str">
        <f aca="false">IFERROR(F58/D58,"")</f>
        <v/>
      </c>
      <c r="H58" s="20" t="str">
        <f aca="false">IFERROR(C58/F58,"")</f>
        <v/>
      </c>
      <c r="I58" s="20" t="str">
        <f aca="false">IFERROR(C58/D58*1000,"")</f>
        <v/>
      </c>
      <c r="J58" s="5"/>
      <c r="K58" s="20" t="str">
        <f aca="false">IFERROR(C58/J58,"")</f>
        <v/>
      </c>
      <c r="L58" s="19" t="str">
        <f aca="false">IFERROR(J58/F58,"")</f>
        <v/>
      </c>
      <c r="M58" s="5"/>
      <c r="N58" s="5"/>
      <c r="O58" s="24"/>
    </row>
    <row r="59" customFormat="false" ht="21.75" hidden="false" customHeight="true" outlineLevel="0" collapsed="false">
      <c r="A59" s="17"/>
      <c r="B59" s="11"/>
      <c r="C59" s="12"/>
      <c r="D59" s="18"/>
      <c r="E59" s="18"/>
      <c r="F59" s="18"/>
      <c r="G59" s="19" t="str">
        <f aca="false">IFERROR(F59/D59,"")</f>
        <v/>
      </c>
      <c r="H59" s="20" t="str">
        <f aca="false">IFERROR(C59/F59,"")</f>
        <v/>
      </c>
      <c r="I59" s="20" t="str">
        <f aca="false">IFERROR(C59/D59*1000,"")</f>
        <v/>
      </c>
      <c r="J59" s="11"/>
      <c r="K59" s="20" t="str">
        <f aca="false">IFERROR(C59/J59,"")</f>
        <v/>
      </c>
      <c r="L59" s="19" t="str">
        <f aca="false">IFERROR(J59/F59,"")</f>
        <v/>
      </c>
      <c r="M59" s="11"/>
      <c r="N59" s="11"/>
      <c r="O59" s="21"/>
    </row>
    <row r="60" customFormat="false" ht="21.75" hidden="false" customHeight="true" outlineLevel="0" collapsed="false">
      <c r="A60" s="22"/>
      <c r="B60" s="5"/>
      <c r="C60" s="7"/>
      <c r="D60" s="23"/>
      <c r="E60" s="23"/>
      <c r="F60" s="23"/>
      <c r="G60" s="19" t="str">
        <f aca="false">IFERROR(F60/D60,"")</f>
        <v/>
      </c>
      <c r="H60" s="20" t="str">
        <f aca="false">IFERROR(C60/F60,"")</f>
        <v/>
      </c>
      <c r="I60" s="20" t="str">
        <f aca="false">IFERROR(C60/D60*1000,"")</f>
        <v/>
      </c>
      <c r="J60" s="5"/>
      <c r="K60" s="20" t="str">
        <f aca="false">IFERROR(C60/J60,"")</f>
        <v/>
      </c>
      <c r="L60" s="19" t="str">
        <f aca="false">IFERROR(J60/F60,"")</f>
        <v/>
      </c>
      <c r="M60" s="5"/>
      <c r="N60" s="5"/>
      <c r="O60" s="24"/>
    </row>
    <row r="61" customFormat="false" ht="21.75" hidden="false" customHeight="true" outlineLevel="0" collapsed="false">
      <c r="A61" s="17"/>
      <c r="B61" s="11"/>
      <c r="C61" s="12"/>
      <c r="D61" s="18"/>
      <c r="E61" s="18"/>
      <c r="F61" s="18"/>
      <c r="G61" s="19" t="str">
        <f aca="false">IFERROR(F61/D61,"")</f>
        <v/>
      </c>
      <c r="H61" s="20" t="str">
        <f aca="false">IFERROR(C61/F61,"")</f>
        <v/>
      </c>
      <c r="I61" s="20" t="str">
        <f aca="false">IFERROR(C61/D61*1000,"")</f>
        <v/>
      </c>
      <c r="J61" s="11"/>
      <c r="K61" s="20" t="str">
        <f aca="false">IFERROR(C61/J61,"")</f>
        <v/>
      </c>
      <c r="L61" s="19" t="str">
        <f aca="false">IFERROR(J61/F61,"")</f>
        <v/>
      </c>
      <c r="M61" s="11"/>
      <c r="N61" s="11"/>
      <c r="O61" s="21"/>
    </row>
    <row r="62" customFormat="false" ht="21.75" hidden="false" customHeight="true" outlineLevel="0" collapsed="false">
      <c r="A62" s="22"/>
      <c r="B62" s="5"/>
      <c r="C62" s="7"/>
      <c r="D62" s="23"/>
      <c r="E62" s="23"/>
      <c r="F62" s="23"/>
      <c r="G62" s="19" t="str">
        <f aca="false">IFERROR(F62/D62,"")</f>
        <v/>
      </c>
      <c r="H62" s="20" t="str">
        <f aca="false">IFERROR(C62/F62,"")</f>
        <v/>
      </c>
      <c r="I62" s="20" t="str">
        <f aca="false">IFERROR(C62/D62*1000,"")</f>
        <v/>
      </c>
      <c r="J62" s="5"/>
      <c r="K62" s="20" t="str">
        <f aca="false">IFERROR(C62/J62,"")</f>
        <v/>
      </c>
      <c r="L62" s="19" t="str">
        <f aca="false">IFERROR(J62/F62,"")</f>
        <v/>
      </c>
      <c r="M62" s="5"/>
      <c r="N62" s="5"/>
      <c r="O62" s="24"/>
    </row>
    <row r="63" customFormat="false" ht="21.75" hidden="false" customHeight="true" outlineLevel="0" collapsed="false">
      <c r="A63" s="17"/>
      <c r="B63" s="11"/>
      <c r="C63" s="12"/>
      <c r="D63" s="18"/>
      <c r="E63" s="18"/>
      <c r="F63" s="18"/>
      <c r="G63" s="19" t="str">
        <f aca="false">IFERROR(F63/D63,"")</f>
        <v/>
      </c>
      <c r="H63" s="20" t="str">
        <f aca="false">IFERROR(C63/F63,"")</f>
        <v/>
      </c>
      <c r="I63" s="20" t="str">
        <f aca="false">IFERROR(C63/D63*1000,"")</f>
        <v/>
      </c>
      <c r="J63" s="11"/>
      <c r="K63" s="20" t="str">
        <f aca="false">IFERROR(C63/J63,"")</f>
        <v/>
      </c>
      <c r="L63" s="19" t="str">
        <f aca="false">IFERROR(J63/F63,"")</f>
        <v/>
      </c>
      <c r="M63" s="11"/>
      <c r="N63" s="11"/>
      <c r="O63" s="21"/>
    </row>
    <row r="64" customFormat="false" ht="21.75" hidden="false" customHeight="true" outlineLevel="0" collapsed="false">
      <c r="A64" s="22"/>
      <c r="B64" s="5"/>
      <c r="C64" s="7"/>
      <c r="D64" s="23"/>
      <c r="E64" s="23"/>
      <c r="F64" s="23"/>
      <c r="G64" s="19" t="str">
        <f aca="false">IFERROR(F64/D64,"")</f>
        <v/>
      </c>
      <c r="H64" s="20" t="str">
        <f aca="false">IFERROR(C64/F64,"")</f>
        <v/>
      </c>
      <c r="I64" s="20" t="str">
        <f aca="false">IFERROR(C64/D64*1000,"")</f>
        <v/>
      </c>
      <c r="J64" s="5"/>
      <c r="K64" s="20" t="str">
        <f aca="false">IFERROR(C64/J64,"")</f>
        <v/>
      </c>
      <c r="L64" s="19" t="str">
        <f aca="false">IFERROR(J64/F64,"")</f>
        <v/>
      </c>
      <c r="M64" s="5"/>
      <c r="N64" s="5"/>
      <c r="O64" s="24"/>
    </row>
    <row r="65" customFormat="false" ht="21.75" hidden="false" customHeight="true" outlineLevel="0" collapsed="false">
      <c r="A65" s="17"/>
      <c r="B65" s="11"/>
      <c r="C65" s="12"/>
      <c r="D65" s="18"/>
      <c r="E65" s="18"/>
      <c r="F65" s="18"/>
      <c r="G65" s="19" t="str">
        <f aca="false">IFERROR(F65/D65,"")</f>
        <v/>
      </c>
      <c r="H65" s="20" t="str">
        <f aca="false">IFERROR(C65/F65,"")</f>
        <v/>
      </c>
      <c r="I65" s="20" t="str">
        <f aca="false">IFERROR(C65/D65*1000,"")</f>
        <v/>
      </c>
      <c r="J65" s="11"/>
      <c r="K65" s="20" t="str">
        <f aca="false">IFERROR(C65/J65,"")</f>
        <v/>
      </c>
      <c r="L65" s="19" t="str">
        <f aca="false">IFERROR(J65/F65,"")</f>
        <v/>
      </c>
      <c r="M65" s="11"/>
      <c r="N65" s="11"/>
      <c r="O65" s="21"/>
    </row>
    <row r="66" customFormat="false" ht="21.75" hidden="false" customHeight="true" outlineLevel="0" collapsed="false">
      <c r="A66" s="22"/>
      <c r="B66" s="5"/>
      <c r="C66" s="7"/>
      <c r="D66" s="23"/>
      <c r="E66" s="23"/>
      <c r="F66" s="23"/>
      <c r="G66" s="19" t="str">
        <f aca="false">IFERROR(F66/D66,"")</f>
        <v/>
      </c>
      <c r="H66" s="20" t="str">
        <f aca="false">IFERROR(C66/F66,"")</f>
        <v/>
      </c>
      <c r="I66" s="20" t="str">
        <f aca="false">IFERROR(C66/D66*1000,"")</f>
        <v/>
      </c>
      <c r="J66" s="5"/>
      <c r="K66" s="20" t="str">
        <f aca="false">IFERROR(C66/J66,"")</f>
        <v/>
      </c>
      <c r="L66" s="19" t="str">
        <f aca="false">IFERROR(J66/F66,"")</f>
        <v/>
      </c>
      <c r="M66" s="5"/>
      <c r="N66" s="5"/>
      <c r="O66" s="24"/>
    </row>
    <row r="67" customFormat="false" ht="21.75" hidden="false" customHeight="true" outlineLevel="0" collapsed="false">
      <c r="A67" s="17"/>
      <c r="B67" s="11"/>
      <c r="C67" s="12"/>
      <c r="D67" s="18"/>
      <c r="E67" s="18"/>
      <c r="F67" s="18"/>
      <c r="G67" s="19" t="str">
        <f aca="false">IFERROR(F67/D67,"")</f>
        <v/>
      </c>
      <c r="H67" s="20" t="str">
        <f aca="false">IFERROR(C67/F67,"")</f>
        <v/>
      </c>
      <c r="I67" s="20" t="str">
        <f aca="false">IFERROR(C67/D67*1000,"")</f>
        <v/>
      </c>
      <c r="J67" s="11"/>
      <c r="K67" s="20" t="str">
        <f aca="false">IFERROR(C67/J67,"")</f>
        <v/>
      </c>
      <c r="L67" s="19" t="str">
        <f aca="false">IFERROR(J67/F67,"")</f>
        <v/>
      </c>
      <c r="M67" s="11"/>
      <c r="N67" s="11"/>
      <c r="O67" s="21"/>
    </row>
    <row r="68" customFormat="false" ht="21.75" hidden="false" customHeight="true" outlineLevel="0" collapsed="false">
      <c r="A68" s="22"/>
      <c r="B68" s="5"/>
      <c r="C68" s="7"/>
      <c r="D68" s="23"/>
      <c r="E68" s="23"/>
      <c r="F68" s="23"/>
      <c r="G68" s="19" t="str">
        <f aca="false">IFERROR(F68/D68,"")</f>
        <v/>
      </c>
      <c r="H68" s="20" t="str">
        <f aca="false">IFERROR(C68/F68,"")</f>
        <v/>
      </c>
      <c r="I68" s="20" t="str">
        <f aca="false">IFERROR(C68/D68*1000,"")</f>
        <v/>
      </c>
      <c r="J68" s="5"/>
      <c r="K68" s="20" t="str">
        <f aca="false">IFERROR(C68/J68,"")</f>
        <v/>
      </c>
      <c r="L68" s="19" t="str">
        <f aca="false">IFERROR(J68/F68,"")</f>
        <v/>
      </c>
      <c r="M68" s="5"/>
      <c r="N68" s="5"/>
      <c r="O68" s="24"/>
    </row>
    <row r="69" customFormat="false" ht="21.75" hidden="false" customHeight="true" outlineLevel="0" collapsed="false">
      <c r="A69" s="17"/>
      <c r="B69" s="11"/>
      <c r="C69" s="12"/>
      <c r="D69" s="18"/>
      <c r="E69" s="18"/>
      <c r="F69" s="18"/>
      <c r="G69" s="19" t="str">
        <f aca="false">IFERROR(F69/D69,"")</f>
        <v/>
      </c>
      <c r="H69" s="20" t="str">
        <f aca="false">IFERROR(C69/F69,"")</f>
        <v/>
      </c>
      <c r="I69" s="20" t="str">
        <f aca="false">IFERROR(C69/D69*1000,"")</f>
        <v/>
      </c>
      <c r="J69" s="11"/>
      <c r="K69" s="20" t="str">
        <f aca="false">IFERROR(C69/J69,"")</f>
        <v/>
      </c>
      <c r="L69" s="19" t="str">
        <f aca="false">IFERROR(J69/F69,"")</f>
        <v/>
      </c>
      <c r="M69" s="11"/>
      <c r="N69" s="11"/>
      <c r="O69" s="21"/>
    </row>
    <row r="70" customFormat="false" ht="21.75" hidden="false" customHeight="true" outlineLevel="0" collapsed="false">
      <c r="A70" s="22"/>
      <c r="B70" s="5"/>
      <c r="C70" s="7"/>
      <c r="D70" s="23"/>
      <c r="E70" s="23"/>
      <c r="F70" s="23"/>
      <c r="G70" s="19" t="str">
        <f aca="false">IFERROR(F70/D70,"")</f>
        <v/>
      </c>
      <c r="H70" s="20" t="str">
        <f aca="false">IFERROR(C70/F70,"")</f>
        <v/>
      </c>
      <c r="I70" s="20" t="str">
        <f aca="false">IFERROR(C70/D70*1000,"")</f>
        <v/>
      </c>
      <c r="J70" s="5"/>
      <c r="K70" s="20" t="str">
        <f aca="false">IFERROR(C70/J70,"")</f>
        <v/>
      </c>
      <c r="L70" s="19" t="str">
        <f aca="false">IFERROR(J70/F70,"")</f>
        <v/>
      </c>
      <c r="M70" s="5"/>
      <c r="N70" s="5"/>
      <c r="O70" s="24"/>
    </row>
    <row r="71" customFormat="false" ht="21.75" hidden="false" customHeight="true" outlineLevel="0" collapsed="false">
      <c r="A71" s="17"/>
      <c r="B71" s="11"/>
      <c r="C71" s="12"/>
      <c r="D71" s="18"/>
      <c r="E71" s="18"/>
      <c r="F71" s="18"/>
      <c r="G71" s="19" t="str">
        <f aca="false">IFERROR(F71/D71,"")</f>
        <v/>
      </c>
      <c r="H71" s="20" t="str">
        <f aca="false">IFERROR(C71/F71,"")</f>
        <v/>
      </c>
      <c r="I71" s="20" t="str">
        <f aca="false">IFERROR(C71/D71*1000,"")</f>
        <v/>
      </c>
      <c r="J71" s="11"/>
      <c r="K71" s="20" t="str">
        <f aca="false">IFERROR(C71/J71,"")</f>
        <v/>
      </c>
      <c r="L71" s="19" t="str">
        <f aca="false">IFERROR(J71/F71,"")</f>
        <v/>
      </c>
      <c r="M71" s="11"/>
      <c r="N71" s="11"/>
      <c r="O71" s="21"/>
    </row>
    <row r="72" customFormat="false" ht="21.75" hidden="false" customHeight="true" outlineLevel="0" collapsed="false">
      <c r="A72" s="22"/>
      <c r="B72" s="5"/>
      <c r="C72" s="7"/>
      <c r="D72" s="23"/>
      <c r="E72" s="23"/>
      <c r="F72" s="23"/>
      <c r="G72" s="19" t="str">
        <f aca="false">IFERROR(F72/D72,"")</f>
        <v/>
      </c>
      <c r="H72" s="20" t="str">
        <f aca="false">IFERROR(C72/F72,"")</f>
        <v/>
      </c>
      <c r="I72" s="20" t="str">
        <f aca="false">IFERROR(C72/D72*1000,"")</f>
        <v/>
      </c>
      <c r="J72" s="5"/>
      <c r="K72" s="20" t="str">
        <f aca="false">IFERROR(C72/J72,"")</f>
        <v/>
      </c>
      <c r="L72" s="19" t="str">
        <f aca="false">IFERROR(J72/F72,"")</f>
        <v/>
      </c>
      <c r="M72" s="5"/>
      <c r="N72" s="5"/>
      <c r="O72" s="24"/>
    </row>
    <row r="73" customFormat="false" ht="21.75" hidden="false" customHeight="true" outlineLevel="0" collapsed="false">
      <c r="A73" s="17"/>
      <c r="B73" s="11"/>
      <c r="C73" s="12"/>
      <c r="D73" s="18"/>
      <c r="E73" s="18"/>
      <c r="F73" s="18"/>
      <c r="G73" s="19" t="str">
        <f aca="false">IFERROR(F73/D73,"")</f>
        <v/>
      </c>
      <c r="H73" s="20" t="str">
        <f aca="false">IFERROR(C73/F73,"")</f>
        <v/>
      </c>
      <c r="I73" s="20" t="str">
        <f aca="false">IFERROR(C73/D73*1000,"")</f>
        <v/>
      </c>
      <c r="J73" s="11"/>
      <c r="K73" s="20" t="str">
        <f aca="false">IFERROR(C73/J73,"")</f>
        <v/>
      </c>
      <c r="L73" s="19" t="str">
        <f aca="false">IFERROR(J73/F73,"")</f>
        <v/>
      </c>
      <c r="M73" s="11"/>
      <c r="N73" s="11"/>
      <c r="O73" s="21"/>
    </row>
    <row r="74" customFormat="false" ht="21.75" hidden="false" customHeight="true" outlineLevel="0" collapsed="false">
      <c r="A74" s="22"/>
      <c r="B74" s="5"/>
      <c r="C74" s="7"/>
      <c r="D74" s="23"/>
      <c r="E74" s="23"/>
      <c r="F74" s="23"/>
      <c r="G74" s="19" t="str">
        <f aca="false">IFERROR(F74/D74,"")</f>
        <v/>
      </c>
      <c r="H74" s="20" t="str">
        <f aca="false">IFERROR(C74/F74,"")</f>
        <v/>
      </c>
      <c r="I74" s="20" t="str">
        <f aca="false">IFERROR(C74/D74*1000,"")</f>
        <v/>
      </c>
      <c r="J74" s="5"/>
      <c r="K74" s="20" t="str">
        <f aca="false">IFERROR(C74/J74,"")</f>
        <v/>
      </c>
      <c r="L74" s="19" t="str">
        <f aca="false">IFERROR(J74/F74,"")</f>
        <v/>
      </c>
      <c r="M74" s="5"/>
      <c r="N74" s="5"/>
      <c r="O74" s="24"/>
    </row>
    <row r="75" customFormat="false" ht="21.75" hidden="false" customHeight="true" outlineLevel="0" collapsed="false">
      <c r="A75" s="17"/>
      <c r="B75" s="11"/>
      <c r="C75" s="12"/>
      <c r="D75" s="18"/>
      <c r="E75" s="18"/>
      <c r="F75" s="18"/>
      <c r="G75" s="19" t="str">
        <f aca="false">IFERROR(F75/D75,"")</f>
        <v/>
      </c>
      <c r="H75" s="20" t="str">
        <f aca="false">IFERROR(C75/F75,"")</f>
        <v/>
      </c>
      <c r="I75" s="20" t="str">
        <f aca="false">IFERROR(C75/D75*1000,"")</f>
        <v/>
      </c>
      <c r="J75" s="11"/>
      <c r="K75" s="20" t="str">
        <f aca="false">IFERROR(C75/J75,"")</f>
        <v/>
      </c>
      <c r="L75" s="19" t="str">
        <f aca="false">IFERROR(J75/F75,"")</f>
        <v/>
      </c>
      <c r="M75" s="11"/>
      <c r="N75" s="11"/>
      <c r="O75" s="21"/>
    </row>
    <row r="76" customFormat="false" ht="21.75" hidden="false" customHeight="true" outlineLevel="0" collapsed="false">
      <c r="A76" s="22"/>
      <c r="B76" s="5"/>
      <c r="C76" s="7"/>
      <c r="D76" s="23"/>
      <c r="E76" s="23"/>
      <c r="F76" s="23"/>
      <c r="G76" s="19" t="str">
        <f aca="false">IFERROR(F76/D76,"")</f>
        <v/>
      </c>
      <c r="H76" s="20" t="str">
        <f aca="false">IFERROR(C76/F76,"")</f>
        <v/>
      </c>
      <c r="I76" s="20" t="str">
        <f aca="false">IFERROR(C76/D76*1000,"")</f>
        <v/>
      </c>
      <c r="J76" s="5"/>
      <c r="K76" s="20" t="str">
        <f aca="false">IFERROR(C76/J76,"")</f>
        <v/>
      </c>
      <c r="L76" s="19" t="str">
        <f aca="false">IFERROR(J76/F76,"")</f>
        <v/>
      </c>
      <c r="M76" s="5"/>
      <c r="N76" s="5"/>
      <c r="O76" s="24"/>
    </row>
    <row r="77" customFormat="false" ht="21.75" hidden="false" customHeight="true" outlineLevel="0" collapsed="false">
      <c r="A77" s="17"/>
      <c r="B77" s="11"/>
      <c r="C77" s="12"/>
      <c r="D77" s="18"/>
      <c r="E77" s="18"/>
      <c r="F77" s="18"/>
      <c r="G77" s="19" t="str">
        <f aca="false">IFERROR(F77/D77,"")</f>
        <v/>
      </c>
      <c r="H77" s="20" t="str">
        <f aca="false">IFERROR(C77/F77,"")</f>
        <v/>
      </c>
      <c r="I77" s="20" t="str">
        <f aca="false">IFERROR(C77/D77*1000,"")</f>
        <v/>
      </c>
      <c r="J77" s="11"/>
      <c r="K77" s="20" t="str">
        <f aca="false">IFERROR(C77/J77,"")</f>
        <v/>
      </c>
      <c r="L77" s="19" t="str">
        <f aca="false">IFERROR(J77/F77,"")</f>
        <v/>
      </c>
      <c r="M77" s="11"/>
      <c r="N77" s="11"/>
      <c r="O77" s="21"/>
    </row>
    <row r="78" customFormat="false" ht="21.75" hidden="false" customHeight="true" outlineLevel="0" collapsed="false">
      <c r="A78" s="22"/>
      <c r="B78" s="5"/>
      <c r="C78" s="7"/>
      <c r="D78" s="23"/>
      <c r="E78" s="23"/>
      <c r="F78" s="23"/>
      <c r="G78" s="19" t="str">
        <f aca="false">IFERROR(F78/D78,"")</f>
        <v/>
      </c>
      <c r="H78" s="20" t="str">
        <f aca="false">IFERROR(C78/F78,"")</f>
        <v/>
      </c>
      <c r="I78" s="20" t="str">
        <f aca="false">IFERROR(C78/D78*1000,"")</f>
        <v/>
      </c>
      <c r="J78" s="5"/>
      <c r="K78" s="20" t="str">
        <f aca="false">IFERROR(C78/J78,"")</f>
        <v/>
      </c>
      <c r="L78" s="19" t="str">
        <f aca="false">IFERROR(J78/F78,"")</f>
        <v/>
      </c>
      <c r="M78" s="5"/>
      <c r="N78" s="5"/>
      <c r="O78" s="24"/>
    </row>
    <row r="79" customFormat="false" ht="21.75" hidden="false" customHeight="true" outlineLevel="0" collapsed="false">
      <c r="A79" s="17"/>
      <c r="B79" s="11"/>
      <c r="C79" s="12"/>
      <c r="D79" s="18"/>
      <c r="E79" s="18"/>
      <c r="F79" s="18"/>
      <c r="G79" s="19" t="str">
        <f aca="false">IFERROR(F79/D79,"")</f>
        <v/>
      </c>
      <c r="H79" s="20" t="str">
        <f aca="false">IFERROR(C79/F79,"")</f>
        <v/>
      </c>
      <c r="I79" s="20" t="str">
        <f aca="false">IFERROR(C79/D79*1000,"")</f>
        <v/>
      </c>
      <c r="J79" s="11"/>
      <c r="K79" s="20" t="str">
        <f aca="false">IFERROR(C79/J79,"")</f>
        <v/>
      </c>
      <c r="L79" s="19" t="str">
        <f aca="false">IFERROR(J79/F79,"")</f>
        <v/>
      </c>
      <c r="M79" s="11"/>
      <c r="N79" s="11"/>
      <c r="O79" s="21"/>
    </row>
    <row r="80" customFormat="false" ht="21.75" hidden="false" customHeight="true" outlineLevel="0" collapsed="false">
      <c r="A80" s="22"/>
      <c r="B80" s="5"/>
      <c r="C80" s="7"/>
      <c r="D80" s="23"/>
      <c r="E80" s="23"/>
      <c r="F80" s="23"/>
      <c r="G80" s="19" t="str">
        <f aca="false">IFERROR(F80/D80,"")</f>
        <v/>
      </c>
      <c r="H80" s="20" t="str">
        <f aca="false">IFERROR(C80/F80,"")</f>
        <v/>
      </c>
      <c r="I80" s="20" t="str">
        <f aca="false">IFERROR(C80/D80*1000,"")</f>
        <v/>
      </c>
      <c r="J80" s="5"/>
      <c r="K80" s="20" t="str">
        <f aca="false">IFERROR(C80/J80,"")</f>
        <v/>
      </c>
      <c r="L80" s="19" t="str">
        <f aca="false">IFERROR(J80/F80,"")</f>
        <v/>
      </c>
      <c r="M80" s="5"/>
      <c r="N80" s="5"/>
      <c r="O80" s="24"/>
    </row>
    <row r="81" customFormat="false" ht="21.75" hidden="false" customHeight="true" outlineLevel="0" collapsed="false">
      <c r="A81" s="17"/>
      <c r="B81" s="11"/>
      <c r="C81" s="12"/>
      <c r="D81" s="18"/>
      <c r="E81" s="18"/>
      <c r="F81" s="18"/>
      <c r="G81" s="19" t="str">
        <f aca="false">IFERROR(F81/D81,"")</f>
        <v/>
      </c>
      <c r="H81" s="20" t="str">
        <f aca="false">IFERROR(C81/F81,"")</f>
        <v/>
      </c>
      <c r="I81" s="20" t="str">
        <f aca="false">IFERROR(C81/D81*1000,"")</f>
        <v/>
      </c>
      <c r="J81" s="11"/>
      <c r="K81" s="20" t="str">
        <f aca="false">IFERROR(C81/J81,"")</f>
        <v/>
      </c>
      <c r="L81" s="19" t="str">
        <f aca="false">IFERROR(J81/F81,"")</f>
        <v/>
      </c>
      <c r="M81" s="11"/>
      <c r="N81" s="11"/>
      <c r="O81" s="21"/>
    </row>
    <row r="82" customFormat="false" ht="21.75" hidden="false" customHeight="true" outlineLevel="0" collapsed="false">
      <c r="A82" s="22"/>
      <c r="B82" s="5"/>
      <c r="C82" s="7"/>
      <c r="D82" s="23"/>
      <c r="E82" s="23"/>
      <c r="F82" s="23"/>
      <c r="G82" s="19" t="str">
        <f aca="false">IFERROR(F82/D82,"")</f>
        <v/>
      </c>
      <c r="H82" s="20" t="str">
        <f aca="false">IFERROR(C82/F82,"")</f>
        <v/>
      </c>
      <c r="I82" s="20" t="str">
        <f aca="false">IFERROR(C82/D82*1000,"")</f>
        <v/>
      </c>
      <c r="J82" s="5"/>
      <c r="K82" s="20" t="str">
        <f aca="false">IFERROR(C82/J82,"")</f>
        <v/>
      </c>
      <c r="L82" s="19" t="str">
        <f aca="false">IFERROR(J82/F82,"")</f>
        <v/>
      </c>
      <c r="M82" s="5"/>
      <c r="N82" s="5"/>
      <c r="O82" s="24"/>
    </row>
    <row r="83" customFormat="false" ht="21.75" hidden="false" customHeight="true" outlineLevel="0" collapsed="false">
      <c r="A83" s="17"/>
      <c r="B83" s="11"/>
      <c r="C83" s="12"/>
      <c r="D83" s="18"/>
      <c r="E83" s="18"/>
      <c r="F83" s="18"/>
      <c r="G83" s="19" t="str">
        <f aca="false">IFERROR(F83/D83,"")</f>
        <v/>
      </c>
      <c r="H83" s="20" t="str">
        <f aca="false">IFERROR(C83/F83,"")</f>
        <v/>
      </c>
      <c r="I83" s="20" t="str">
        <f aca="false">IFERROR(C83/D83*1000,"")</f>
        <v/>
      </c>
      <c r="J83" s="11"/>
      <c r="K83" s="20" t="str">
        <f aca="false">IFERROR(C83/J83,"")</f>
        <v/>
      </c>
      <c r="L83" s="19" t="str">
        <f aca="false">IFERROR(J83/F83,"")</f>
        <v/>
      </c>
      <c r="M83" s="11"/>
      <c r="N83" s="11"/>
      <c r="O83" s="21"/>
    </row>
    <row r="84" customFormat="false" ht="21.75" hidden="false" customHeight="true" outlineLevel="0" collapsed="false">
      <c r="A84" s="22"/>
      <c r="B84" s="5"/>
      <c r="C84" s="7"/>
      <c r="D84" s="23"/>
      <c r="E84" s="23"/>
      <c r="F84" s="23"/>
      <c r="G84" s="19" t="str">
        <f aca="false">IFERROR(F84/D84,"")</f>
        <v/>
      </c>
      <c r="H84" s="20" t="str">
        <f aca="false">IFERROR(C84/F84,"")</f>
        <v/>
      </c>
      <c r="I84" s="20" t="str">
        <f aca="false">IFERROR(C84/D84*1000,"")</f>
        <v/>
      </c>
      <c r="J84" s="5"/>
      <c r="K84" s="20" t="str">
        <f aca="false">IFERROR(C84/J84,"")</f>
        <v/>
      </c>
      <c r="L84" s="19" t="str">
        <f aca="false">IFERROR(J84/F84,"")</f>
        <v/>
      </c>
      <c r="M84" s="5"/>
      <c r="N84" s="5"/>
      <c r="O84" s="24"/>
    </row>
    <row r="85" customFormat="false" ht="21.75" hidden="false" customHeight="true" outlineLevel="0" collapsed="false">
      <c r="A85" s="17"/>
      <c r="B85" s="11"/>
      <c r="C85" s="12"/>
      <c r="D85" s="18"/>
      <c r="E85" s="18"/>
      <c r="F85" s="18"/>
      <c r="G85" s="19" t="str">
        <f aca="false">IFERROR(F85/D85,"")</f>
        <v/>
      </c>
      <c r="H85" s="20" t="str">
        <f aca="false">IFERROR(C85/F85,"")</f>
        <v/>
      </c>
      <c r="I85" s="20" t="str">
        <f aca="false">IFERROR(C85/D85*1000,"")</f>
        <v/>
      </c>
      <c r="J85" s="11"/>
      <c r="K85" s="20" t="str">
        <f aca="false">IFERROR(C85/J85,"")</f>
        <v/>
      </c>
      <c r="L85" s="19" t="str">
        <f aca="false">IFERROR(J85/F85,"")</f>
        <v/>
      </c>
      <c r="M85" s="11"/>
      <c r="N85" s="11"/>
      <c r="O85" s="21"/>
    </row>
    <row r="86" customFormat="false" ht="21.75" hidden="false" customHeight="true" outlineLevel="0" collapsed="false">
      <c r="A86" s="22"/>
      <c r="B86" s="5"/>
      <c r="C86" s="7"/>
      <c r="D86" s="23"/>
      <c r="E86" s="23"/>
      <c r="F86" s="23"/>
      <c r="G86" s="19" t="str">
        <f aca="false">IFERROR(F86/D86,"")</f>
        <v/>
      </c>
      <c r="H86" s="20" t="str">
        <f aca="false">IFERROR(C86/F86,"")</f>
        <v/>
      </c>
      <c r="I86" s="20" t="str">
        <f aca="false">IFERROR(C86/D86*1000,"")</f>
        <v/>
      </c>
      <c r="J86" s="5"/>
      <c r="K86" s="20" t="str">
        <f aca="false">IFERROR(C86/J86,"")</f>
        <v/>
      </c>
      <c r="L86" s="19" t="str">
        <f aca="false">IFERROR(J86/F86,"")</f>
        <v/>
      </c>
      <c r="M86" s="5"/>
      <c r="N86" s="5"/>
      <c r="O86" s="24"/>
    </row>
    <row r="87" customFormat="false" ht="21.75" hidden="false" customHeight="true" outlineLevel="0" collapsed="false">
      <c r="A87" s="17"/>
      <c r="B87" s="11"/>
      <c r="C87" s="12"/>
      <c r="D87" s="18"/>
      <c r="E87" s="18"/>
      <c r="F87" s="18"/>
      <c r="G87" s="19" t="str">
        <f aca="false">IFERROR(F87/D87,"")</f>
        <v/>
      </c>
      <c r="H87" s="20" t="str">
        <f aca="false">IFERROR(C87/F87,"")</f>
        <v/>
      </c>
      <c r="I87" s="20" t="str">
        <f aca="false">IFERROR(C87/D87*1000,"")</f>
        <v/>
      </c>
      <c r="J87" s="11"/>
      <c r="K87" s="20" t="str">
        <f aca="false">IFERROR(C87/J87,"")</f>
        <v/>
      </c>
      <c r="L87" s="19" t="str">
        <f aca="false">IFERROR(J87/F87,"")</f>
        <v/>
      </c>
      <c r="M87" s="11"/>
      <c r="N87" s="11"/>
      <c r="O87" s="21"/>
    </row>
    <row r="88" customFormat="false" ht="21.75" hidden="false" customHeight="true" outlineLevel="0" collapsed="false">
      <c r="A88" s="22"/>
      <c r="B88" s="5"/>
      <c r="C88" s="7"/>
      <c r="D88" s="23"/>
      <c r="E88" s="23"/>
      <c r="F88" s="23"/>
      <c r="G88" s="19" t="str">
        <f aca="false">IFERROR(F88/D88,"")</f>
        <v/>
      </c>
      <c r="H88" s="20" t="str">
        <f aca="false">IFERROR(C88/F88,"")</f>
        <v/>
      </c>
      <c r="I88" s="20" t="str">
        <f aca="false">IFERROR(C88/D88*1000,"")</f>
        <v/>
      </c>
      <c r="J88" s="5"/>
      <c r="K88" s="20" t="str">
        <f aca="false">IFERROR(C88/J88,"")</f>
        <v/>
      </c>
      <c r="L88" s="19" t="str">
        <f aca="false">IFERROR(J88/F88,"")</f>
        <v/>
      </c>
      <c r="M88" s="5"/>
      <c r="N88" s="5"/>
      <c r="O88" s="24"/>
    </row>
    <row r="89" customFormat="false" ht="21.75" hidden="false" customHeight="true" outlineLevel="0" collapsed="false">
      <c r="A89" s="17"/>
      <c r="B89" s="11"/>
      <c r="C89" s="12"/>
      <c r="D89" s="18"/>
      <c r="E89" s="18"/>
      <c r="F89" s="18"/>
      <c r="G89" s="19" t="str">
        <f aca="false">IFERROR(F89/D89,"")</f>
        <v/>
      </c>
      <c r="H89" s="20" t="str">
        <f aca="false">IFERROR(C89/F89,"")</f>
        <v/>
      </c>
      <c r="I89" s="20" t="str">
        <f aca="false">IFERROR(C89/D89*1000,"")</f>
        <v/>
      </c>
      <c r="J89" s="11"/>
      <c r="K89" s="20" t="str">
        <f aca="false">IFERROR(C89/J89,"")</f>
        <v/>
      </c>
      <c r="L89" s="19" t="str">
        <f aca="false">IFERROR(J89/F89,"")</f>
        <v/>
      </c>
      <c r="M89" s="11"/>
      <c r="N89" s="11"/>
      <c r="O89" s="21"/>
    </row>
    <row r="90" customFormat="false" ht="21.75" hidden="false" customHeight="true" outlineLevel="0" collapsed="false">
      <c r="A90" s="22"/>
      <c r="B90" s="5"/>
      <c r="C90" s="7"/>
      <c r="D90" s="23"/>
      <c r="E90" s="23"/>
      <c r="F90" s="23"/>
      <c r="G90" s="19" t="str">
        <f aca="false">IFERROR(F90/D90,"")</f>
        <v/>
      </c>
      <c r="H90" s="20" t="str">
        <f aca="false">IFERROR(C90/F90,"")</f>
        <v/>
      </c>
      <c r="I90" s="20" t="str">
        <f aca="false">IFERROR(C90/D90*1000,"")</f>
        <v/>
      </c>
      <c r="J90" s="5"/>
      <c r="K90" s="20" t="str">
        <f aca="false">IFERROR(C90/J90,"")</f>
        <v/>
      </c>
      <c r="L90" s="19" t="str">
        <f aca="false">IFERROR(J90/F90,"")</f>
        <v/>
      </c>
      <c r="M90" s="5"/>
      <c r="N90" s="5"/>
      <c r="O90" s="24"/>
    </row>
    <row r="91" customFormat="false" ht="21.75" hidden="false" customHeight="true" outlineLevel="0" collapsed="false">
      <c r="A91" s="17"/>
      <c r="B91" s="11"/>
      <c r="C91" s="12"/>
      <c r="D91" s="18"/>
      <c r="E91" s="18"/>
      <c r="F91" s="18"/>
      <c r="G91" s="19" t="str">
        <f aca="false">IFERROR(F91/D91,"")</f>
        <v/>
      </c>
      <c r="H91" s="20" t="str">
        <f aca="false">IFERROR(C91/F91,"")</f>
        <v/>
      </c>
      <c r="I91" s="20" t="str">
        <f aca="false">IFERROR(C91/D91*1000,"")</f>
        <v/>
      </c>
      <c r="J91" s="11"/>
      <c r="K91" s="20" t="str">
        <f aca="false">IFERROR(C91/J91,"")</f>
        <v/>
      </c>
      <c r="L91" s="19" t="str">
        <f aca="false">IFERROR(J91/F91,"")</f>
        <v/>
      </c>
      <c r="M91" s="11"/>
      <c r="N91" s="11"/>
      <c r="O91" s="21"/>
    </row>
    <row r="92" customFormat="false" ht="21.75" hidden="false" customHeight="true" outlineLevel="0" collapsed="false">
      <c r="A92" s="22"/>
      <c r="B92" s="5"/>
      <c r="C92" s="7"/>
      <c r="D92" s="23"/>
      <c r="E92" s="23"/>
      <c r="F92" s="23"/>
      <c r="G92" s="19" t="str">
        <f aca="false">IFERROR(F92/D92,"")</f>
        <v/>
      </c>
      <c r="H92" s="20" t="str">
        <f aca="false">IFERROR(C92/F92,"")</f>
        <v/>
      </c>
      <c r="I92" s="20" t="str">
        <f aca="false">IFERROR(C92/D92*1000,"")</f>
        <v/>
      </c>
      <c r="J92" s="5"/>
      <c r="K92" s="20" t="str">
        <f aca="false">IFERROR(C92/J92,"")</f>
        <v/>
      </c>
      <c r="L92" s="19" t="str">
        <f aca="false">IFERROR(J92/F92,"")</f>
        <v/>
      </c>
      <c r="M92" s="5"/>
      <c r="N92" s="5"/>
      <c r="O92" s="24"/>
    </row>
    <row r="93" customFormat="false" ht="21.75" hidden="false" customHeight="true" outlineLevel="0" collapsed="false">
      <c r="A93" s="17"/>
      <c r="B93" s="11"/>
      <c r="C93" s="12"/>
      <c r="D93" s="18"/>
      <c r="E93" s="18"/>
      <c r="F93" s="18"/>
      <c r="G93" s="19" t="str">
        <f aca="false">IFERROR(F93/D93,"")</f>
        <v/>
      </c>
      <c r="H93" s="20" t="str">
        <f aca="false">IFERROR(C93/F93,"")</f>
        <v/>
      </c>
      <c r="I93" s="20" t="str">
        <f aca="false">IFERROR(C93/D93*1000,"")</f>
        <v/>
      </c>
      <c r="J93" s="11"/>
      <c r="K93" s="20" t="str">
        <f aca="false">IFERROR(C93/J93,"")</f>
        <v/>
      </c>
      <c r="L93" s="19" t="str">
        <f aca="false">IFERROR(J93/F93,"")</f>
        <v/>
      </c>
      <c r="M93" s="11"/>
      <c r="N93" s="11"/>
      <c r="O93" s="21"/>
    </row>
    <row r="94" customFormat="false" ht="21.75" hidden="false" customHeight="true" outlineLevel="0" collapsed="false">
      <c r="A94" s="22"/>
      <c r="B94" s="5"/>
      <c r="C94" s="7"/>
      <c r="D94" s="23"/>
      <c r="E94" s="23"/>
      <c r="F94" s="23"/>
      <c r="G94" s="19" t="str">
        <f aca="false">IFERROR(F94/D94,"")</f>
        <v/>
      </c>
      <c r="H94" s="20" t="str">
        <f aca="false">IFERROR(C94/F94,"")</f>
        <v/>
      </c>
      <c r="I94" s="20" t="str">
        <f aca="false">IFERROR(C94/D94*1000,"")</f>
        <v/>
      </c>
      <c r="J94" s="5"/>
      <c r="K94" s="20" t="str">
        <f aca="false">IFERROR(C94/J94,"")</f>
        <v/>
      </c>
      <c r="L94" s="19" t="str">
        <f aca="false">IFERROR(J94/F94,"")</f>
        <v/>
      </c>
      <c r="M94" s="5"/>
      <c r="N94" s="5"/>
      <c r="O94" s="24"/>
    </row>
    <row r="95" customFormat="false" ht="21.75" hidden="false" customHeight="true" outlineLevel="0" collapsed="false">
      <c r="A95" s="17"/>
      <c r="B95" s="11"/>
      <c r="C95" s="12"/>
      <c r="D95" s="18"/>
      <c r="E95" s="18"/>
      <c r="F95" s="18"/>
      <c r="G95" s="19" t="str">
        <f aca="false">IFERROR(F95/D95,"")</f>
        <v/>
      </c>
      <c r="H95" s="20" t="str">
        <f aca="false">IFERROR(C95/F95,"")</f>
        <v/>
      </c>
      <c r="I95" s="20" t="str">
        <f aca="false">IFERROR(C95/D95*1000,"")</f>
        <v/>
      </c>
      <c r="J95" s="11"/>
      <c r="K95" s="20" t="str">
        <f aca="false">IFERROR(C95/J95,"")</f>
        <v/>
      </c>
      <c r="L95" s="19" t="str">
        <f aca="false">IFERROR(J95/F95,"")</f>
        <v/>
      </c>
      <c r="M95" s="11"/>
      <c r="N95" s="11"/>
      <c r="O95" s="21"/>
    </row>
    <row r="96" customFormat="false" ht="21.75" hidden="false" customHeight="true" outlineLevel="0" collapsed="false">
      <c r="A96" s="22"/>
      <c r="B96" s="5"/>
      <c r="C96" s="7"/>
      <c r="D96" s="23"/>
      <c r="E96" s="23"/>
      <c r="F96" s="23"/>
      <c r="G96" s="19" t="str">
        <f aca="false">IFERROR(F96/D96,"")</f>
        <v/>
      </c>
      <c r="H96" s="20" t="str">
        <f aca="false">IFERROR(C96/F96,"")</f>
        <v/>
      </c>
      <c r="I96" s="20" t="str">
        <f aca="false">IFERROR(C96/D96*1000,"")</f>
        <v/>
      </c>
      <c r="J96" s="5"/>
      <c r="K96" s="20" t="str">
        <f aca="false">IFERROR(C96/J96,"")</f>
        <v/>
      </c>
      <c r="L96" s="19" t="str">
        <f aca="false">IFERROR(J96/F96,"")</f>
        <v/>
      </c>
      <c r="M96" s="5"/>
      <c r="N96" s="5"/>
      <c r="O96" s="24"/>
    </row>
    <row r="97" customFormat="false" ht="21.75" hidden="false" customHeight="true" outlineLevel="0" collapsed="false">
      <c r="A97" s="17"/>
      <c r="B97" s="11"/>
      <c r="C97" s="12"/>
      <c r="D97" s="18"/>
      <c r="E97" s="18"/>
      <c r="F97" s="18"/>
      <c r="G97" s="19" t="str">
        <f aca="false">IFERROR(F97/D97,"")</f>
        <v/>
      </c>
      <c r="H97" s="20" t="str">
        <f aca="false">IFERROR(C97/F97,"")</f>
        <v/>
      </c>
      <c r="I97" s="20" t="str">
        <f aca="false">IFERROR(C97/D97*1000,"")</f>
        <v/>
      </c>
      <c r="J97" s="11"/>
      <c r="K97" s="20" t="str">
        <f aca="false">IFERROR(C97/J97,"")</f>
        <v/>
      </c>
      <c r="L97" s="19" t="str">
        <f aca="false">IFERROR(J97/F97,"")</f>
        <v/>
      </c>
      <c r="M97" s="11"/>
      <c r="N97" s="11"/>
      <c r="O97" s="21"/>
    </row>
    <row r="98" customFormat="false" ht="21.75" hidden="false" customHeight="true" outlineLevel="0" collapsed="false">
      <c r="A98" s="22"/>
      <c r="B98" s="5"/>
      <c r="C98" s="7"/>
      <c r="D98" s="23"/>
      <c r="E98" s="23"/>
      <c r="F98" s="23"/>
      <c r="G98" s="19" t="str">
        <f aca="false">IFERROR(F98/D98,"")</f>
        <v/>
      </c>
      <c r="H98" s="20" t="str">
        <f aca="false">IFERROR(C98/F98,"")</f>
        <v/>
      </c>
      <c r="I98" s="20" t="str">
        <f aca="false">IFERROR(C98/D98*1000,"")</f>
        <v/>
      </c>
      <c r="J98" s="5"/>
      <c r="K98" s="20" t="str">
        <f aca="false">IFERROR(C98/J98,"")</f>
        <v/>
      </c>
      <c r="L98" s="19" t="str">
        <f aca="false">IFERROR(J98/F98,"")</f>
        <v/>
      </c>
      <c r="M98" s="5"/>
      <c r="N98" s="5"/>
      <c r="O98" s="24"/>
    </row>
    <row r="99" customFormat="false" ht="21.75" hidden="false" customHeight="true" outlineLevel="0" collapsed="false">
      <c r="A99" s="17"/>
      <c r="B99" s="11"/>
      <c r="C99" s="12"/>
      <c r="D99" s="18"/>
      <c r="E99" s="18"/>
      <c r="F99" s="18"/>
      <c r="G99" s="19" t="str">
        <f aca="false">IFERROR(F99/D99,"")</f>
        <v/>
      </c>
      <c r="H99" s="20" t="str">
        <f aca="false">IFERROR(C99/F99,"")</f>
        <v/>
      </c>
      <c r="I99" s="20" t="str">
        <f aca="false">IFERROR(C99/D99*1000,"")</f>
        <v/>
      </c>
      <c r="J99" s="11"/>
      <c r="K99" s="20" t="str">
        <f aca="false">IFERROR(C99/J99,"")</f>
        <v/>
      </c>
      <c r="L99" s="19" t="str">
        <f aca="false">IFERROR(J99/F99,"")</f>
        <v/>
      </c>
      <c r="M99" s="11"/>
      <c r="N99" s="11"/>
      <c r="O99" s="21"/>
    </row>
    <row r="100" customFormat="false" ht="21.75" hidden="false" customHeight="true" outlineLevel="0" collapsed="false">
      <c r="A100" s="22"/>
      <c r="B100" s="5"/>
      <c r="C100" s="7"/>
      <c r="D100" s="23"/>
      <c r="E100" s="23"/>
      <c r="F100" s="23"/>
      <c r="G100" s="19" t="str">
        <f aca="false">IFERROR(F100/D100,"")</f>
        <v/>
      </c>
      <c r="H100" s="20" t="str">
        <f aca="false">IFERROR(C100/F100,"")</f>
        <v/>
      </c>
      <c r="I100" s="20" t="str">
        <f aca="false">IFERROR(C100/D100*1000,"")</f>
        <v/>
      </c>
      <c r="J100" s="5"/>
      <c r="K100" s="20" t="str">
        <f aca="false">IFERROR(C100/J100,"")</f>
        <v/>
      </c>
      <c r="L100" s="19" t="str">
        <f aca="false">IFERROR(J100/F100,"")</f>
        <v/>
      </c>
      <c r="M100" s="5"/>
      <c r="N100" s="5"/>
      <c r="O100" s="24"/>
    </row>
    <row r="101" customFormat="false" ht="21.75" hidden="false" customHeight="true" outlineLevel="0" collapsed="false">
      <c r="A101" s="17"/>
      <c r="B101" s="11"/>
      <c r="C101" s="12"/>
      <c r="D101" s="18"/>
      <c r="E101" s="18"/>
      <c r="F101" s="18"/>
      <c r="G101" s="19" t="str">
        <f aca="false">IFERROR(F101/D101,"")</f>
        <v/>
      </c>
      <c r="H101" s="20" t="str">
        <f aca="false">IFERROR(C101/F101,"")</f>
        <v/>
      </c>
      <c r="I101" s="20" t="str">
        <f aca="false">IFERROR(C101/D101*1000,"")</f>
        <v/>
      </c>
      <c r="J101" s="11"/>
      <c r="K101" s="20" t="str">
        <f aca="false">IFERROR(C101/J101,"")</f>
        <v/>
      </c>
      <c r="L101" s="19" t="str">
        <f aca="false">IFERROR(J101/F101,"")</f>
        <v/>
      </c>
      <c r="M101" s="11"/>
      <c r="N101" s="11"/>
      <c r="O101" s="21"/>
    </row>
    <row r="102" customFormat="false" ht="21.75" hidden="false" customHeight="true" outlineLevel="0" collapsed="false">
      <c r="A102" s="22"/>
      <c r="B102" s="5"/>
      <c r="C102" s="7"/>
      <c r="D102" s="23"/>
      <c r="E102" s="23"/>
      <c r="F102" s="23"/>
      <c r="G102" s="19" t="str">
        <f aca="false">IFERROR(F102/D102,"")</f>
        <v/>
      </c>
      <c r="H102" s="20" t="str">
        <f aca="false">IFERROR(C102/F102,"")</f>
        <v/>
      </c>
      <c r="I102" s="20" t="str">
        <f aca="false">IFERROR(C102/D102*1000,"")</f>
        <v/>
      </c>
      <c r="J102" s="5"/>
      <c r="K102" s="20" t="str">
        <f aca="false">IFERROR(C102/J102,"")</f>
        <v/>
      </c>
      <c r="L102" s="19" t="str">
        <f aca="false">IFERROR(J102/F102,"")</f>
        <v/>
      </c>
      <c r="M102" s="5"/>
      <c r="N102" s="5"/>
      <c r="O102" s="24"/>
    </row>
    <row r="103" customFormat="false" ht="21.75" hidden="false" customHeight="true" outlineLevel="0" collapsed="false">
      <c r="A103" s="17"/>
      <c r="B103" s="11"/>
      <c r="C103" s="12"/>
      <c r="D103" s="18"/>
      <c r="E103" s="18"/>
      <c r="F103" s="18"/>
      <c r="G103" s="19" t="str">
        <f aca="false">IFERROR(F103/D103,"")</f>
        <v/>
      </c>
      <c r="H103" s="20" t="str">
        <f aca="false">IFERROR(C103/F103,"")</f>
        <v/>
      </c>
      <c r="I103" s="20" t="str">
        <f aca="false">IFERROR(C103/D103*1000,"")</f>
        <v/>
      </c>
      <c r="J103" s="11"/>
      <c r="K103" s="20" t="str">
        <f aca="false">IFERROR(C103/J103,"")</f>
        <v/>
      </c>
      <c r="L103" s="19" t="str">
        <f aca="false">IFERROR(J103/F103,"")</f>
        <v/>
      </c>
      <c r="M103" s="11"/>
      <c r="N103" s="11"/>
      <c r="O103" s="21"/>
    </row>
    <row r="104" customFormat="false" ht="21.75" hidden="false" customHeight="true" outlineLevel="0" collapsed="false">
      <c r="A104" s="22"/>
      <c r="B104" s="5"/>
      <c r="C104" s="7"/>
      <c r="D104" s="23"/>
      <c r="E104" s="23"/>
      <c r="F104" s="23"/>
      <c r="G104" s="19" t="str">
        <f aca="false">IFERROR(F104/D104,"")</f>
        <v/>
      </c>
      <c r="H104" s="20" t="str">
        <f aca="false">IFERROR(C104/F104,"")</f>
        <v/>
      </c>
      <c r="I104" s="20" t="str">
        <f aca="false">IFERROR(C104/D104*1000,"")</f>
        <v/>
      </c>
      <c r="J104" s="5"/>
      <c r="K104" s="20" t="str">
        <f aca="false">IFERROR(C104/J104,"")</f>
        <v/>
      </c>
      <c r="L104" s="19" t="str">
        <f aca="false">IFERROR(J104/F104,"")</f>
        <v/>
      </c>
      <c r="M104" s="5"/>
      <c r="N104" s="5"/>
      <c r="O104" s="24"/>
    </row>
    <row r="105" customFormat="false" ht="21.75" hidden="false" customHeight="true" outlineLevel="0" collapsed="false">
      <c r="A105" s="17"/>
      <c r="B105" s="11"/>
      <c r="C105" s="12"/>
      <c r="D105" s="18"/>
      <c r="E105" s="18"/>
      <c r="F105" s="18"/>
      <c r="G105" s="19" t="str">
        <f aca="false">IFERROR(F105/D105,"")</f>
        <v/>
      </c>
      <c r="H105" s="20" t="str">
        <f aca="false">IFERROR(C105/F105,"")</f>
        <v/>
      </c>
      <c r="I105" s="20" t="str">
        <f aca="false">IFERROR(C105/D105*1000,"")</f>
        <v/>
      </c>
      <c r="J105" s="11"/>
      <c r="K105" s="20" t="str">
        <f aca="false">IFERROR(C105/J105,"")</f>
        <v/>
      </c>
      <c r="L105" s="19" t="str">
        <f aca="false">IFERROR(J105/F105,"")</f>
        <v/>
      </c>
      <c r="M105" s="11"/>
      <c r="N105" s="11"/>
      <c r="O105" s="21"/>
    </row>
    <row r="106" customFormat="false" ht="21.75" hidden="false" customHeight="true" outlineLevel="0" collapsed="false">
      <c r="A106" s="22"/>
      <c r="B106" s="5"/>
      <c r="C106" s="7"/>
      <c r="D106" s="23"/>
      <c r="E106" s="23"/>
      <c r="F106" s="23"/>
      <c r="G106" s="19" t="str">
        <f aca="false">IFERROR(F106/D106,"")</f>
        <v/>
      </c>
      <c r="H106" s="20" t="str">
        <f aca="false">IFERROR(C106/F106,"")</f>
        <v/>
      </c>
      <c r="I106" s="20" t="str">
        <f aca="false">IFERROR(C106/D106*1000,"")</f>
        <v/>
      </c>
      <c r="J106" s="5"/>
      <c r="K106" s="20" t="str">
        <f aca="false">IFERROR(C106/J106,"")</f>
        <v/>
      </c>
      <c r="L106" s="19" t="str">
        <f aca="false">IFERROR(J106/F106,"")</f>
        <v/>
      </c>
      <c r="M106" s="5"/>
      <c r="N106" s="5"/>
      <c r="O106" s="24"/>
    </row>
    <row r="107" customFormat="false" ht="21.75" hidden="false" customHeight="true" outlineLevel="0" collapsed="false">
      <c r="A107" s="17"/>
      <c r="B107" s="11"/>
      <c r="C107" s="12"/>
      <c r="D107" s="18"/>
      <c r="E107" s="18"/>
      <c r="F107" s="18"/>
      <c r="G107" s="19" t="str">
        <f aca="false">IFERROR(F107/D107,"")</f>
        <v/>
      </c>
      <c r="H107" s="20" t="str">
        <f aca="false">IFERROR(C107/F107,"")</f>
        <v/>
      </c>
      <c r="I107" s="20" t="str">
        <f aca="false">IFERROR(C107/D107*1000,"")</f>
        <v/>
      </c>
      <c r="J107" s="11"/>
      <c r="K107" s="20" t="str">
        <f aca="false">IFERROR(C107/J107,"")</f>
        <v/>
      </c>
      <c r="L107" s="19" t="str">
        <f aca="false">IFERROR(J107/F107,"")</f>
        <v/>
      </c>
      <c r="M107" s="11"/>
      <c r="N107" s="11"/>
      <c r="O107" s="21"/>
    </row>
    <row r="108" customFormat="false" ht="21.75" hidden="false" customHeight="true" outlineLevel="0" collapsed="false">
      <c r="A108" s="22"/>
      <c r="B108" s="5"/>
      <c r="C108" s="7"/>
      <c r="D108" s="23"/>
      <c r="E108" s="23"/>
      <c r="F108" s="23"/>
      <c r="G108" s="19" t="str">
        <f aca="false">IFERROR(F108/D108,"")</f>
        <v/>
      </c>
      <c r="H108" s="20" t="str">
        <f aca="false">IFERROR(C108/F108,"")</f>
        <v/>
      </c>
      <c r="I108" s="20" t="str">
        <f aca="false">IFERROR(C108/D108*1000,"")</f>
        <v/>
      </c>
      <c r="J108" s="5"/>
      <c r="K108" s="20" t="str">
        <f aca="false">IFERROR(C108/J108,"")</f>
        <v/>
      </c>
      <c r="L108" s="19" t="str">
        <f aca="false">IFERROR(J108/F108,"")</f>
        <v/>
      </c>
      <c r="M108" s="5"/>
      <c r="N108" s="5"/>
      <c r="O108" s="24"/>
    </row>
    <row r="109" customFormat="false" ht="21.75" hidden="false" customHeight="true" outlineLevel="0" collapsed="false">
      <c r="A109" s="17"/>
      <c r="B109" s="11"/>
      <c r="C109" s="12"/>
      <c r="D109" s="18"/>
      <c r="E109" s="18"/>
      <c r="F109" s="18"/>
      <c r="G109" s="19" t="str">
        <f aca="false">IFERROR(F109/D109,"")</f>
        <v/>
      </c>
      <c r="H109" s="20" t="str">
        <f aca="false">IFERROR(C109/F109,"")</f>
        <v/>
      </c>
      <c r="I109" s="20" t="str">
        <f aca="false">IFERROR(C109/D109*1000,"")</f>
        <v/>
      </c>
      <c r="J109" s="11"/>
      <c r="K109" s="20" t="str">
        <f aca="false">IFERROR(C109/J109,"")</f>
        <v/>
      </c>
      <c r="L109" s="19" t="str">
        <f aca="false">IFERROR(J109/F109,"")</f>
        <v/>
      </c>
      <c r="M109" s="11"/>
      <c r="N109" s="11"/>
      <c r="O109" s="21"/>
    </row>
    <row r="110" customFormat="false" ht="21.75" hidden="false" customHeight="true" outlineLevel="0" collapsed="false">
      <c r="A110" s="22"/>
      <c r="B110" s="5"/>
      <c r="C110" s="7"/>
      <c r="D110" s="23"/>
      <c r="E110" s="23"/>
      <c r="F110" s="23"/>
      <c r="G110" s="19" t="str">
        <f aca="false">IFERROR(F110/D110,"")</f>
        <v/>
      </c>
      <c r="H110" s="20" t="str">
        <f aca="false">IFERROR(C110/F110,"")</f>
        <v/>
      </c>
      <c r="I110" s="20" t="str">
        <f aca="false">IFERROR(C110/D110*1000,"")</f>
        <v/>
      </c>
      <c r="J110" s="5"/>
      <c r="K110" s="20" t="str">
        <f aca="false">IFERROR(C110/J110,"")</f>
        <v/>
      </c>
      <c r="L110" s="19" t="str">
        <f aca="false">IFERROR(J110/F110,"")</f>
        <v/>
      </c>
      <c r="M110" s="5"/>
      <c r="N110" s="5"/>
      <c r="O110" s="24"/>
    </row>
    <row r="111" customFormat="false" ht="21.75" hidden="false" customHeight="true" outlineLevel="0" collapsed="false">
      <c r="A111" s="17"/>
      <c r="B111" s="11"/>
      <c r="C111" s="12"/>
      <c r="D111" s="18"/>
      <c r="E111" s="18"/>
      <c r="F111" s="18"/>
      <c r="G111" s="19" t="str">
        <f aca="false">IFERROR(F111/D111,"")</f>
        <v/>
      </c>
      <c r="H111" s="20" t="str">
        <f aca="false">IFERROR(C111/F111,"")</f>
        <v/>
      </c>
      <c r="I111" s="20" t="str">
        <f aca="false">IFERROR(C111/D111*1000,"")</f>
        <v/>
      </c>
      <c r="J111" s="11"/>
      <c r="K111" s="20" t="str">
        <f aca="false">IFERROR(C111/J111,"")</f>
        <v/>
      </c>
      <c r="L111" s="19" t="str">
        <f aca="false">IFERROR(J111/F111,"")</f>
        <v/>
      </c>
      <c r="M111" s="11"/>
      <c r="N111" s="11"/>
      <c r="O111" s="21"/>
    </row>
    <row r="112" customFormat="false" ht="21.75" hidden="false" customHeight="true" outlineLevel="0" collapsed="false">
      <c r="A112" s="22"/>
      <c r="B112" s="5"/>
      <c r="C112" s="7"/>
      <c r="D112" s="23"/>
      <c r="E112" s="23"/>
      <c r="F112" s="23"/>
      <c r="G112" s="19" t="str">
        <f aca="false">IFERROR(F112/D112,"")</f>
        <v/>
      </c>
      <c r="H112" s="20" t="str">
        <f aca="false">IFERROR(C112/F112,"")</f>
        <v/>
      </c>
      <c r="I112" s="20" t="str">
        <f aca="false">IFERROR(C112/D112*1000,"")</f>
        <v/>
      </c>
      <c r="J112" s="5"/>
      <c r="K112" s="20" t="str">
        <f aca="false">IFERROR(C112/J112,"")</f>
        <v/>
      </c>
      <c r="L112" s="19" t="str">
        <f aca="false">IFERROR(J112/F112,"")</f>
        <v/>
      </c>
      <c r="M112" s="5"/>
      <c r="N112" s="5"/>
      <c r="O112" s="24"/>
    </row>
    <row r="113" customFormat="false" ht="21.75" hidden="false" customHeight="true" outlineLevel="0" collapsed="false">
      <c r="A113" s="17"/>
      <c r="B113" s="11"/>
      <c r="C113" s="12"/>
      <c r="D113" s="18"/>
      <c r="E113" s="18"/>
      <c r="F113" s="18"/>
      <c r="G113" s="19" t="str">
        <f aca="false">IFERROR(F113/D113,"")</f>
        <v/>
      </c>
      <c r="H113" s="20" t="str">
        <f aca="false">IFERROR(C113/F113,"")</f>
        <v/>
      </c>
      <c r="I113" s="20" t="str">
        <f aca="false">IFERROR(C113/D113*1000,"")</f>
        <v/>
      </c>
      <c r="J113" s="11"/>
      <c r="K113" s="20" t="str">
        <f aca="false">IFERROR(C113/J113,"")</f>
        <v/>
      </c>
      <c r="L113" s="19" t="str">
        <f aca="false">IFERROR(J113/F113,"")</f>
        <v/>
      </c>
      <c r="M113" s="11"/>
      <c r="N113" s="11"/>
      <c r="O113" s="21"/>
    </row>
    <row r="114" customFormat="false" ht="21.75" hidden="false" customHeight="true" outlineLevel="0" collapsed="false">
      <c r="A114" s="22"/>
      <c r="B114" s="5"/>
      <c r="C114" s="7"/>
      <c r="D114" s="23"/>
      <c r="E114" s="23"/>
      <c r="F114" s="23"/>
      <c r="G114" s="19" t="str">
        <f aca="false">IFERROR(F114/D114,"")</f>
        <v/>
      </c>
      <c r="H114" s="20" t="str">
        <f aca="false">IFERROR(C114/F114,"")</f>
        <v/>
      </c>
      <c r="I114" s="20" t="str">
        <f aca="false">IFERROR(C114/D114*1000,"")</f>
        <v/>
      </c>
      <c r="J114" s="5"/>
      <c r="K114" s="20" t="str">
        <f aca="false">IFERROR(C114/J114,"")</f>
        <v/>
      </c>
      <c r="L114" s="19" t="str">
        <f aca="false">IFERROR(J114/F114,"")</f>
        <v/>
      </c>
      <c r="M114" s="5"/>
      <c r="N114" s="5"/>
      <c r="O114" s="24"/>
    </row>
    <row r="115" customFormat="false" ht="21.75" hidden="false" customHeight="true" outlineLevel="0" collapsed="false">
      <c r="A115" s="17"/>
      <c r="B115" s="11"/>
      <c r="C115" s="12"/>
      <c r="D115" s="18"/>
      <c r="E115" s="18"/>
      <c r="F115" s="18"/>
      <c r="G115" s="19" t="str">
        <f aca="false">IFERROR(F115/D115,"")</f>
        <v/>
      </c>
      <c r="H115" s="20" t="str">
        <f aca="false">IFERROR(C115/F115,"")</f>
        <v/>
      </c>
      <c r="I115" s="20" t="str">
        <f aca="false">IFERROR(C115/D115*1000,"")</f>
        <v/>
      </c>
      <c r="J115" s="11"/>
      <c r="K115" s="20" t="str">
        <f aca="false">IFERROR(C115/J115,"")</f>
        <v/>
      </c>
      <c r="L115" s="19" t="str">
        <f aca="false">IFERROR(J115/F115,"")</f>
        <v/>
      </c>
      <c r="M115" s="11"/>
      <c r="N115" s="11"/>
      <c r="O115" s="21"/>
    </row>
    <row r="116" customFormat="false" ht="21.75" hidden="false" customHeight="true" outlineLevel="0" collapsed="false">
      <c r="A116" s="22"/>
      <c r="B116" s="5"/>
      <c r="C116" s="7"/>
      <c r="D116" s="23"/>
      <c r="E116" s="23"/>
      <c r="F116" s="23"/>
      <c r="G116" s="19" t="str">
        <f aca="false">IFERROR(F116/D116,"")</f>
        <v/>
      </c>
      <c r="H116" s="20" t="str">
        <f aca="false">IFERROR(C116/F116,"")</f>
        <v/>
      </c>
      <c r="I116" s="20" t="str">
        <f aca="false">IFERROR(C116/D116*1000,"")</f>
        <v/>
      </c>
      <c r="J116" s="5"/>
      <c r="K116" s="20" t="str">
        <f aca="false">IFERROR(C116/J116,"")</f>
        <v/>
      </c>
      <c r="L116" s="19" t="str">
        <f aca="false">IFERROR(J116/F116,"")</f>
        <v/>
      </c>
      <c r="M116" s="5"/>
      <c r="N116" s="5"/>
      <c r="O116" s="24"/>
    </row>
    <row r="117" customFormat="false" ht="21.75" hidden="false" customHeight="true" outlineLevel="0" collapsed="false">
      <c r="A117" s="17"/>
      <c r="B117" s="11"/>
      <c r="C117" s="12"/>
      <c r="D117" s="18"/>
      <c r="E117" s="18"/>
      <c r="F117" s="18"/>
      <c r="G117" s="19" t="str">
        <f aca="false">IFERROR(F117/D117,"")</f>
        <v/>
      </c>
      <c r="H117" s="20" t="str">
        <f aca="false">IFERROR(C117/F117,"")</f>
        <v/>
      </c>
      <c r="I117" s="20" t="str">
        <f aca="false">IFERROR(C117/D117*1000,"")</f>
        <v/>
      </c>
      <c r="J117" s="11"/>
      <c r="K117" s="20" t="str">
        <f aca="false">IFERROR(C117/J117,"")</f>
        <v/>
      </c>
      <c r="L117" s="19" t="str">
        <f aca="false">IFERROR(J117/F117,"")</f>
        <v/>
      </c>
      <c r="M117" s="11"/>
      <c r="N117" s="11"/>
      <c r="O117" s="21"/>
    </row>
    <row r="118" customFormat="false" ht="21.75" hidden="false" customHeight="true" outlineLevel="0" collapsed="false">
      <c r="A118" s="22"/>
      <c r="B118" s="5"/>
      <c r="C118" s="7"/>
      <c r="D118" s="23"/>
      <c r="E118" s="23"/>
      <c r="F118" s="23"/>
      <c r="G118" s="19" t="str">
        <f aca="false">IFERROR(F118/D118,"")</f>
        <v/>
      </c>
      <c r="H118" s="20" t="str">
        <f aca="false">IFERROR(C118/F118,"")</f>
        <v/>
      </c>
      <c r="I118" s="20" t="str">
        <f aca="false">IFERROR(C118/D118*1000,"")</f>
        <v/>
      </c>
      <c r="J118" s="5"/>
      <c r="K118" s="20" t="str">
        <f aca="false">IFERROR(C118/J118,"")</f>
        <v/>
      </c>
      <c r="L118" s="19" t="str">
        <f aca="false">IFERROR(J118/F118,"")</f>
        <v/>
      </c>
      <c r="M118" s="5"/>
      <c r="N118" s="5"/>
      <c r="O118" s="24"/>
    </row>
    <row r="119" customFormat="false" ht="21.75" hidden="false" customHeight="true" outlineLevel="0" collapsed="false">
      <c r="A119" s="17"/>
      <c r="B119" s="11"/>
      <c r="C119" s="12"/>
      <c r="D119" s="18"/>
      <c r="E119" s="18"/>
      <c r="F119" s="18"/>
      <c r="G119" s="19" t="str">
        <f aca="false">IFERROR(F119/D119,"")</f>
        <v/>
      </c>
      <c r="H119" s="20" t="str">
        <f aca="false">IFERROR(C119/F119,"")</f>
        <v/>
      </c>
      <c r="I119" s="20" t="str">
        <f aca="false">IFERROR(C119/D119*1000,"")</f>
        <v/>
      </c>
      <c r="J119" s="11"/>
      <c r="K119" s="20" t="str">
        <f aca="false">IFERROR(C119/J119,"")</f>
        <v/>
      </c>
      <c r="L119" s="19" t="str">
        <f aca="false">IFERROR(J119/F119,"")</f>
        <v/>
      </c>
      <c r="M119" s="11"/>
      <c r="N119" s="11"/>
      <c r="O119" s="21"/>
    </row>
    <row r="120" customFormat="false" ht="21.75" hidden="false" customHeight="true" outlineLevel="0" collapsed="false">
      <c r="A120" s="22"/>
      <c r="B120" s="5"/>
      <c r="C120" s="7"/>
      <c r="D120" s="23"/>
      <c r="E120" s="23"/>
      <c r="F120" s="23"/>
      <c r="G120" s="19" t="str">
        <f aca="false">IFERROR(F120/D120,"")</f>
        <v/>
      </c>
      <c r="H120" s="20" t="str">
        <f aca="false">IFERROR(C120/F120,"")</f>
        <v/>
      </c>
      <c r="I120" s="20" t="str">
        <f aca="false">IFERROR(C120/D120*1000,"")</f>
        <v/>
      </c>
      <c r="J120" s="5"/>
      <c r="K120" s="20" t="str">
        <f aca="false">IFERROR(C120/J120,"")</f>
        <v/>
      </c>
      <c r="L120" s="19" t="str">
        <f aca="false">IFERROR(J120/F120,"")</f>
        <v/>
      </c>
      <c r="M120" s="5"/>
      <c r="N120" s="5"/>
      <c r="O120" s="24"/>
    </row>
    <row r="121" customFormat="false" ht="21.75" hidden="false" customHeight="true" outlineLevel="0" collapsed="false">
      <c r="A121" s="17"/>
      <c r="B121" s="11"/>
      <c r="C121" s="12"/>
      <c r="D121" s="18"/>
      <c r="E121" s="18"/>
      <c r="F121" s="18"/>
      <c r="G121" s="19" t="str">
        <f aca="false">IFERROR(F121/D121,"")</f>
        <v/>
      </c>
      <c r="H121" s="20" t="str">
        <f aca="false">IFERROR(C121/F121,"")</f>
        <v/>
      </c>
      <c r="I121" s="20" t="str">
        <f aca="false">IFERROR(C121/D121*1000,"")</f>
        <v/>
      </c>
      <c r="J121" s="11"/>
      <c r="K121" s="20" t="str">
        <f aca="false">IFERROR(C121/J121,"")</f>
        <v/>
      </c>
      <c r="L121" s="19" t="str">
        <f aca="false">IFERROR(J121/F121,"")</f>
        <v/>
      </c>
      <c r="M121" s="11"/>
      <c r="N121" s="11"/>
      <c r="O121" s="21"/>
    </row>
    <row r="122" customFormat="false" ht="21.75" hidden="false" customHeight="true" outlineLevel="0" collapsed="false">
      <c r="A122" s="22"/>
      <c r="B122" s="5"/>
      <c r="C122" s="7"/>
      <c r="D122" s="23"/>
      <c r="E122" s="23"/>
      <c r="F122" s="23"/>
      <c r="G122" s="19" t="str">
        <f aca="false">IFERROR(F122/D122,"")</f>
        <v/>
      </c>
      <c r="H122" s="20" t="str">
        <f aca="false">IFERROR(C122/F122,"")</f>
        <v/>
      </c>
      <c r="I122" s="20" t="str">
        <f aca="false">IFERROR(C122/D122*1000,"")</f>
        <v/>
      </c>
      <c r="J122" s="5"/>
      <c r="K122" s="20" t="str">
        <f aca="false">IFERROR(C122/J122,"")</f>
        <v/>
      </c>
      <c r="L122" s="19" t="str">
        <f aca="false">IFERROR(J122/F122,"")</f>
        <v/>
      </c>
      <c r="M122" s="5"/>
      <c r="N122" s="5"/>
      <c r="O122" s="24"/>
    </row>
    <row r="123" customFormat="false" ht="21.75" hidden="false" customHeight="true" outlineLevel="0" collapsed="false">
      <c r="A123" s="17"/>
      <c r="B123" s="11"/>
      <c r="C123" s="12"/>
      <c r="D123" s="18"/>
      <c r="E123" s="18"/>
      <c r="F123" s="18"/>
      <c r="G123" s="19" t="str">
        <f aca="false">IFERROR(F123/D123,"")</f>
        <v/>
      </c>
      <c r="H123" s="20" t="str">
        <f aca="false">IFERROR(C123/F123,"")</f>
        <v/>
      </c>
      <c r="I123" s="20" t="str">
        <f aca="false">IFERROR(C123/D123*1000,"")</f>
        <v/>
      </c>
      <c r="J123" s="11"/>
      <c r="K123" s="20" t="str">
        <f aca="false">IFERROR(C123/J123,"")</f>
        <v/>
      </c>
      <c r="L123" s="19" t="str">
        <f aca="false">IFERROR(J123/F123,"")</f>
        <v/>
      </c>
      <c r="M123" s="11"/>
      <c r="N123" s="11"/>
      <c r="O123" s="21"/>
    </row>
    <row r="124" customFormat="false" ht="21.75" hidden="false" customHeight="true" outlineLevel="0" collapsed="false">
      <c r="A124" s="22"/>
      <c r="B124" s="5"/>
      <c r="C124" s="7"/>
      <c r="D124" s="23"/>
      <c r="E124" s="23"/>
      <c r="F124" s="23"/>
      <c r="G124" s="19" t="str">
        <f aca="false">IFERROR(F124/D124,"")</f>
        <v/>
      </c>
      <c r="H124" s="20" t="str">
        <f aca="false">IFERROR(C124/F124,"")</f>
        <v/>
      </c>
      <c r="I124" s="20" t="str">
        <f aca="false">IFERROR(C124/D124*1000,"")</f>
        <v/>
      </c>
      <c r="J124" s="5"/>
      <c r="K124" s="20" t="str">
        <f aca="false">IFERROR(C124/J124,"")</f>
        <v/>
      </c>
      <c r="L124" s="19" t="str">
        <f aca="false">IFERROR(J124/F124,"")</f>
        <v/>
      </c>
      <c r="M124" s="5"/>
      <c r="N124" s="5"/>
      <c r="O124" s="24"/>
    </row>
    <row r="125" customFormat="false" ht="21.75" hidden="false" customHeight="true" outlineLevel="0" collapsed="false">
      <c r="A125" s="17"/>
      <c r="B125" s="11"/>
      <c r="C125" s="12"/>
      <c r="D125" s="18"/>
      <c r="E125" s="18"/>
      <c r="F125" s="18"/>
      <c r="G125" s="19" t="str">
        <f aca="false">IFERROR(F125/D125,"")</f>
        <v/>
      </c>
      <c r="H125" s="20" t="str">
        <f aca="false">IFERROR(C125/F125,"")</f>
        <v/>
      </c>
      <c r="I125" s="20" t="str">
        <f aca="false">IFERROR(C125/D125*1000,"")</f>
        <v/>
      </c>
      <c r="J125" s="11"/>
      <c r="K125" s="20" t="str">
        <f aca="false">IFERROR(C125/J125,"")</f>
        <v/>
      </c>
      <c r="L125" s="19" t="str">
        <f aca="false">IFERROR(J125/F125,"")</f>
        <v/>
      </c>
      <c r="M125" s="11"/>
      <c r="N125" s="11"/>
      <c r="O125" s="21"/>
    </row>
    <row r="126" customFormat="false" ht="21.75" hidden="false" customHeight="true" outlineLevel="0" collapsed="false">
      <c r="A126" s="22"/>
      <c r="B126" s="5"/>
      <c r="C126" s="7"/>
      <c r="D126" s="23"/>
      <c r="E126" s="23"/>
      <c r="F126" s="23"/>
      <c r="G126" s="19" t="str">
        <f aca="false">IFERROR(F126/D126,"")</f>
        <v/>
      </c>
      <c r="H126" s="20" t="str">
        <f aca="false">IFERROR(C126/F126,"")</f>
        <v/>
      </c>
      <c r="I126" s="20" t="str">
        <f aca="false">IFERROR(C126/D126*1000,"")</f>
        <v/>
      </c>
      <c r="J126" s="5"/>
      <c r="K126" s="20" t="str">
        <f aca="false">IFERROR(C126/J126,"")</f>
        <v/>
      </c>
      <c r="L126" s="19" t="str">
        <f aca="false">IFERROR(J126/F126,"")</f>
        <v/>
      </c>
      <c r="M126" s="5"/>
      <c r="N126" s="5"/>
      <c r="O126" s="24"/>
    </row>
    <row r="127" customFormat="false" ht="21.75" hidden="false" customHeight="true" outlineLevel="0" collapsed="false">
      <c r="A127" s="17"/>
      <c r="B127" s="11"/>
      <c r="C127" s="12"/>
      <c r="D127" s="18"/>
      <c r="E127" s="18"/>
      <c r="F127" s="18"/>
      <c r="G127" s="19" t="str">
        <f aca="false">IFERROR(F127/D127,"")</f>
        <v/>
      </c>
      <c r="H127" s="20" t="str">
        <f aca="false">IFERROR(C127/F127,"")</f>
        <v/>
      </c>
      <c r="I127" s="20" t="str">
        <f aca="false">IFERROR(C127/D127*1000,"")</f>
        <v/>
      </c>
      <c r="J127" s="11"/>
      <c r="K127" s="20" t="str">
        <f aca="false">IFERROR(C127/J127,"")</f>
        <v/>
      </c>
      <c r="L127" s="19" t="str">
        <f aca="false">IFERROR(J127/F127,"")</f>
        <v/>
      </c>
      <c r="M127" s="11"/>
      <c r="N127" s="11"/>
      <c r="O127" s="21"/>
    </row>
    <row r="128" customFormat="false" ht="21.75" hidden="false" customHeight="true" outlineLevel="0" collapsed="false">
      <c r="A128" s="22"/>
      <c r="B128" s="5"/>
      <c r="C128" s="7"/>
      <c r="D128" s="23"/>
      <c r="E128" s="23"/>
      <c r="F128" s="23"/>
      <c r="G128" s="19" t="str">
        <f aca="false">IFERROR(F128/D128,"")</f>
        <v/>
      </c>
      <c r="H128" s="20" t="str">
        <f aca="false">IFERROR(C128/F128,"")</f>
        <v/>
      </c>
      <c r="I128" s="20" t="str">
        <f aca="false">IFERROR(C128/D128*1000,"")</f>
        <v/>
      </c>
      <c r="J128" s="5"/>
      <c r="K128" s="20" t="str">
        <f aca="false">IFERROR(C128/J128,"")</f>
        <v/>
      </c>
      <c r="L128" s="19" t="str">
        <f aca="false">IFERROR(J128/F128,"")</f>
        <v/>
      </c>
      <c r="M128" s="5"/>
      <c r="N128" s="5"/>
      <c r="O128" s="24"/>
    </row>
    <row r="129" customFormat="false" ht="21.75" hidden="false" customHeight="true" outlineLevel="0" collapsed="false">
      <c r="A129" s="17"/>
      <c r="B129" s="11"/>
      <c r="C129" s="12"/>
      <c r="D129" s="18"/>
      <c r="E129" s="18"/>
      <c r="F129" s="18"/>
      <c r="G129" s="19" t="str">
        <f aca="false">IFERROR(F129/D129,"")</f>
        <v/>
      </c>
      <c r="H129" s="20" t="str">
        <f aca="false">IFERROR(C129/F129,"")</f>
        <v/>
      </c>
      <c r="I129" s="20" t="str">
        <f aca="false">IFERROR(C129/D129*1000,"")</f>
        <v/>
      </c>
      <c r="J129" s="11"/>
      <c r="K129" s="20" t="str">
        <f aca="false">IFERROR(C129/J129,"")</f>
        <v/>
      </c>
      <c r="L129" s="19" t="str">
        <f aca="false">IFERROR(J129/F129,"")</f>
        <v/>
      </c>
      <c r="M129" s="11"/>
      <c r="N129" s="11"/>
      <c r="O129" s="21"/>
    </row>
    <row r="130" customFormat="false" ht="21.75" hidden="false" customHeight="true" outlineLevel="0" collapsed="false">
      <c r="A130" s="22"/>
      <c r="B130" s="5"/>
      <c r="C130" s="7"/>
      <c r="D130" s="23"/>
      <c r="E130" s="23"/>
      <c r="F130" s="23"/>
      <c r="G130" s="19" t="str">
        <f aca="false">IFERROR(F130/D130,"")</f>
        <v/>
      </c>
      <c r="H130" s="20" t="str">
        <f aca="false">IFERROR(C130/F130,"")</f>
        <v/>
      </c>
      <c r="I130" s="20" t="str">
        <f aca="false">IFERROR(C130/D130*1000,"")</f>
        <v/>
      </c>
      <c r="J130" s="5"/>
      <c r="K130" s="20" t="str">
        <f aca="false">IFERROR(C130/J130,"")</f>
        <v/>
      </c>
      <c r="L130" s="19" t="str">
        <f aca="false">IFERROR(J130/F130,"")</f>
        <v/>
      </c>
      <c r="M130" s="5"/>
      <c r="N130" s="5"/>
      <c r="O130" s="24"/>
    </row>
    <row r="131" customFormat="false" ht="21.75" hidden="false" customHeight="true" outlineLevel="0" collapsed="false">
      <c r="A131" s="17"/>
      <c r="B131" s="11"/>
      <c r="C131" s="12"/>
      <c r="D131" s="18"/>
      <c r="E131" s="18"/>
      <c r="F131" s="18"/>
      <c r="G131" s="19" t="str">
        <f aca="false">IFERROR(F131/D131,"")</f>
        <v/>
      </c>
      <c r="H131" s="20" t="str">
        <f aca="false">IFERROR(C131/F131,"")</f>
        <v/>
      </c>
      <c r="I131" s="20" t="str">
        <f aca="false">IFERROR(C131/D131*1000,"")</f>
        <v/>
      </c>
      <c r="J131" s="11"/>
      <c r="K131" s="20" t="str">
        <f aca="false">IFERROR(C131/J131,"")</f>
        <v/>
      </c>
      <c r="L131" s="19" t="str">
        <f aca="false">IFERROR(J131/F131,"")</f>
        <v/>
      </c>
      <c r="M131" s="11"/>
      <c r="N131" s="11"/>
      <c r="O131" s="21"/>
    </row>
    <row r="132" customFormat="false" ht="21.75" hidden="false" customHeight="true" outlineLevel="0" collapsed="false">
      <c r="A132" s="22"/>
      <c r="B132" s="5"/>
      <c r="C132" s="7"/>
      <c r="D132" s="23"/>
      <c r="E132" s="23"/>
      <c r="F132" s="23"/>
      <c r="G132" s="19" t="str">
        <f aca="false">IFERROR(F132/D132,"")</f>
        <v/>
      </c>
      <c r="H132" s="20" t="str">
        <f aca="false">IFERROR(C132/F132,"")</f>
        <v/>
      </c>
      <c r="I132" s="20" t="str">
        <f aca="false">IFERROR(C132/D132*1000,"")</f>
        <v/>
      </c>
      <c r="J132" s="5"/>
      <c r="K132" s="20" t="str">
        <f aca="false">IFERROR(C132/J132,"")</f>
        <v/>
      </c>
      <c r="L132" s="19" t="str">
        <f aca="false">IFERROR(J132/F132,"")</f>
        <v/>
      </c>
      <c r="M132" s="5"/>
      <c r="N132" s="5"/>
      <c r="O132" s="24"/>
    </row>
    <row r="133" customFormat="false" ht="21.75" hidden="false" customHeight="true" outlineLevel="0" collapsed="false">
      <c r="A133" s="17"/>
      <c r="B133" s="11"/>
      <c r="C133" s="12"/>
      <c r="D133" s="18"/>
      <c r="E133" s="18"/>
      <c r="F133" s="18"/>
      <c r="G133" s="19" t="str">
        <f aca="false">IFERROR(F133/D133,"")</f>
        <v/>
      </c>
      <c r="H133" s="20" t="str">
        <f aca="false">IFERROR(C133/F133,"")</f>
        <v/>
      </c>
      <c r="I133" s="20" t="str">
        <f aca="false">IFERROR(C133/D133*1000,"")</f>
        <v/>
      </c>
      <c r="J133" s="11"/>
      <c r="K133" s="20" t="str">
        <f aca="false">IFERROR(C133/J133,"")</f>
        <v/>
      </c>
      <c r="L133" s="19" t="str">
        <f aca="false">IFERROR(J133/F133,"")</f>
        <v/>
      </c>
      <c r="M133" s="11"/>
      <c r="N133" s="11"/>
      <c r="O133" s="21"/>
    </row>
    <row r="134" customFormat="false" ht="21.75" hidden="false" customHeight="true" outlineLevel="0" collapsed="false">
      <c r="A134" s="22"/>
      <c r="B134" s="5"/>
      <c r="C134" s="7"/>
      <c r="D134" s="23"/>
      <c r="E134" s="23"/>
      <c r="F134" s="23"/>
      <c r="G134" s="19" t="str">
        <f aca="false">IFERROR(F134/D134,"")</f>
        <v/>
      </c>
      <c r="H134" s="20" t="str">
        <f aca="false">IFERROR(C134/F134,"")</f>
        <v/>
      </c>
      <c r="I134" s="20" t="str">
        <f aca="false">IFERROR(C134/D134*1000,"")</f>
        <v/>
      </c>
      <c r="J134" s="5"/>
      <c r="K134" s="20" t="str">
        <f aca="false">IFERROR(C134/J134,"")</f>
        <v/>
      </c>
      <c r="L134" s="19" t="str">
        <f aca="false">IFERROR(J134/F134,"")</f>
        <v/>
      </c>
      <c r="M134" s="5"/>
      <c r="N134" s="5"/>
      <c r="O134" s="24"/>
    </row>
    <row r="135" customFormat="false" ht="21.75" hidden="false" customHeight="true" outlineLevel="0" collapsed="false">
      <c r="A135" s="17"/>
      <c r="B135" s="11"/>
      <c r="C135" s="12"/>
      <c r="D135" s="18"/>
      <c r="E135" s="18"/>
      <c r="F135" s="18"/>
      <c r="G135" s="19" t="str">
        <f aca="false">IFERROR(F135/D135,"")</f>
        <v/>
      </c>
      <c r="H135" s="20" t="str">
        <f aca="false">IFERROR(C135/F135,"")</f>
        <v/>
      </c>
      <c r="I135" s="20" t="str">
        <f aca="false">IFERROR(C135/D135*1000,"")</f>
        <v/>
      </c>
      <c r="J135" s="11"/>
      <c r="K135" s="20" t="str">
        <f aca="false">IFERROR(C135/J135,"")</f>
        <v/>
      </c>
      <c r="L135" s="19" t="str">
        <f aca="false">IFERROR(J135/F135,"")</f>
        <v/>
      </c>
      <c r="M135" s="11"/>
      <c r="N135" s="11"/>
      <c r="O135" s="21"/>
    </row>
    <row r="136" customFormat="false" ht="21.75" hidden="false" customHeight="true" outlineLevel="0" collapsed="false">
      <c r="A136" s="22"/>
      <c r="B136" s="5"/>
      <c r="C136" s="7"/>
      <c r="D136" s="23"/>
      <c r="E136" s="23"/>
      <c r="F136" s="23"/>
      <c r="G136" s="19" t="str">
        <f aca="false">IFERROR(F136/D136,"")</f>
        <v/>
      </c>
      <c r="H136" s="20" t="str">
        <f aca="false">IFERROR(C136/F136,"")</f>
        <v/>
      </c>
      <c r="I136" s="20" t="str">
        <f aca="false">IFERROR(C136/D136*1000,"")</f>
        <v/>
      </c>
      <c r="J136" s="5"/>
      <c r="K136" s="20" t="str">
        <f aca="false">IFERROR(C136/J136,"")</f>
        <v/>
      </c>
      <c r="L136" s="19" t="str">
        <f aca="false">IFERROR(J136/F136,"")</f>
        <v/>
      </c>
      <c r="M136" s="5"/>
      <c r="N136" s="5"/>
      <c r="O136" s="24"/>
    </row>
    <row r="137" customFormat="false" ht="21.75" hidden="false" customHeight="true" outlineLevel="0" collapsed="false">
      <c r="A137" s="17"/>
      <c r="B137" s="11"/>
      <c r="C137" s="12"/>
      <c r="D137" s="18"/>
      <c r="E137" s="18"/>
      <c r="F137" s="18"/>
      <c r="G137" s="19" t="str">
        <f aca="false">IFERROR(F137/D137,"")</f>
        <v/>
      </c>
      <c r="H137" s="20" t="str">
        <f aca="false">IFERROR(C137/F137,"")</f>
        <v/>
      </c>
      <c r="I137" s="20" t="str">
        <f aca="false">IFERROR(C137/D137*1000,"")</f>
        <v/>
      </c>
      <c r="J137" s="11"/>
      <c r="K137" s="20" t="str">
        <f aca="false">IFERROR(C137/J137,"")</f>
        <v/>
      </c>
      <c r="L137" s="19" t="str">
        <f aca="false">IFERROR(J137/F137,"")</f>
        <v/>
      </c>
      <c r="M137" s="11"/>
      <c r="N137" s="11"/>
      <c r="O137" s="21"/>
    </row>
    <row r="138" customFormat="false" ht="21.75" hidden="false" customHeight="true" outlineLevel="0" collapsed="false">
      <c r="A138" s="22"/>
      <c r="B138" s="5"/>
      <c r="C138" s="7"/>
      <c r="D138" s="23"/>
      <c r="E138" s="23"/>
      <c r="F138" s="23"/>
      <c r="G138" s="19" t="str">
        <f aca="false">IFERROR(F138/D138,"")</f>
        <v/>
      </c>
      <c r="H138" s="20" t="str">
        <f aca="false">IFERROR(C138/F138,"")</f>
        <v/>
      </c>
      <c r="I138" s="20" t="str">
        <f aca="false">IFERROR(C138/D138*1000,"")</f>
        <v/>
      </c>
      <c r="J138" s="5"/>
      <c r="K138" s="20" t="str">
        <f aca="false">IFERROR(C138/J138,"")</f>
        <v/>
      </c>
      <c r="L138" s="19" t="str">
        <f aca="false">IFERROR(J138/F138,"")</f>
        <v/>
      </c>
      <c r="M138" s="5"/>
      <c r="N138" s="5"/>
      <c r="O138" s="24"/>
    </row>
    <row r="139" customFormat="false" ht="21.75" hidden="false" customHeight="true" outlineLevel="0" collapsed="false">
      <c r="A139" s="17"/>
      <c r="B139" s="11"/>
      <c r="C139" s="12"/>
      <c r="D139" s="18"/>
      <c r="E139" s="18"/>
      <c r="F139" s="18"/>
      <c r="G139" s="19" t="str">
        <f aca="false">IFERROR(F139/D139,"")</f>
        <v/>
      </c>
      <c r="H139" s="20" t="str">
        <f aca="false">IFERROR(C139/F139,"")</f>
        <v/>
      </c>
      <c r="I139" s="20" t="str">
        <f aca="false">IFERROR(C139/D139*1000,"")</f>
        <v/>
      </c>
      <c r="J139" s="11"/>
      <c r="K139" s="20" t="str">
        <f aca="false">IFERROR(C139/J139,"")</f>
        <v/>
      </c>
      <c r="L139" s="19" t="str">
        <f aca="false">IFERROR(J139/F139,"")</f>
        <v/>
      </c>
      <c r="M139" s="11"/>
      <c r="N139" s="11"/>
      <c r="O139" s="21"/>
    </row>
    <row r="140" customFormat="false" ht="21.75" hidden="false" customHeight="true" outlineLevel="0" collapsed="false">
      <c r="A140" s="22"/>
      <c r="B140" s="5"/>
      <c r="C140" s="7"/>
      <c r="D140" s="23"/>
      <c r="E140" s="23"/>
      <c r="F140" s="23"/>
      <c r="G140" s="19" t="str">
        <f aca="false">IFERROR(F140/D140,"")</f>
        <v/>
      </c>
      <c r="H140" s="20" t="str">
        <f aca="false">IFERROR(C140/F140,"")</f>
        <v/>
      </c>
      <c r="I140" s="20" t="str">
        <f aca="false">IFERROR(C140/D140*1000,"")</f>
        <v/>
      </c>
      <c r="J140" s="5"/>
      <c r="K140" s="20" t="str">
        <f aca="false">IFERROR(C140/J140,"")</f>
        <v/>
      </c>
      <c r="L140" s="19" t="str">
        <f aca="false">IFERROR(J140/F140,"")</f>
        <v/>
      </c>
      <c r="M140" s="5"/>
      <c r="N140" s="5"/>
      <c r="O140" s="24"/>
    </row>
    <row r="141" customFormat="false" ht="21.75" hidden="false" customHeight="true" outlineLevel="0" collapsed="false">
      <c r="A141" s="17"/>
      <c r="B141" s="11"/>
      <c r="C141" s="12"/>
      <c r="D141" s="18"/>
      <c r="E141" s="18"/>
      <c r="F141" s="18"/>
      <c r="G141" s="19" t="str">
        <f aca="false">IFERROR(F141/D141,"")</f>
        <v/>
      </c>
      <c r="H141" s="20" t="str">
        <f aca="false">IFERROR(C141/F141,"")</f>
        <v/>
      </c>
      <c r="I141" s="20" t="str">
        <f aca="false">IFERROR(C141/D141*1000,"")</f>
        <v/>
      </c>
      <c r="J141" s="11"/>
      <c r="K141" s="20" t="str">
        <f aca="false">IFERROR(C141/J141,"")</f>
        <v/>
      </c>
      <c r="L141" s="19" t="str">
        <f aca="false">IFERROR(J141/F141,"")</f>
        <v/>
      </c>
      <c r="M141" s="11"/>
      <c r="N141" s="11"/>
      <c r="O141" s="21"/>
    </row>
    <row r="142" customFormat="false" ht="21.75" hidden="false" customHeight="true" outlineLevel="0" collapsed="false">
      <c r="A142" s="22"/>
      <c r="B142" s="5"/>
      <c r="C142" s="7"/>
      <c r="D142" s="23"/>
      <c r="E142" s="23"/>
      <c r="F142" s="23"/>
      <c r="G142" s="19" t="str">
        <f aca="false">IFERROR(F142/D142,"")</f>
        <v/>
      </c>
      <c r="H142" s="20" t="str">
        <f aca="false">IFERROR(C142/F142,"")</f>
        <v/>
      </c>
      <c r="I142" s="20" t="str">
        <f aca="false">IFERROR(C142/D142*1000,"")</f>
        <v/>
      </c>
      <c r="J142" s="5"/>
      <c r="K142" s="20" t="str">
        <f aca="false">IFERROR(C142/J142,"")</f>
        <v/>
      </c>
      <c r="L142" s="19" t="str">
        <f aca="false">IFERROR(J142/F142,"")</f>
        <v/>
      </c>
      <c r="M142" s="5"/>
      <c r="N142" s="5"/>
      <c r="O142" s="24"/>
    </row>
    <row r="143" customFormat="false" ht="21.75" hidden="false" customHeight="true" outlineLevel="0" collapsed="false">
      <c r="A143" s="17"/>
      <c r="B143" s="11"/>
      <c r="C143" s="12"/>
      <c r="D143" s="18"/>
      <c r="E143" s="18"/>
      <c r="F143" s="18"/>
      <c r="G143" s="19" t="str">
        <f aca="false">IFERROR(F143/D143,"")</f>
        <v/>
      </c>
      <c r="H143" s="20" t="str">
        <f aca="false">IFERROR(C143/F143,"")</f>
        <v/>
      </c>
      <c r="I143" s="20" t="str">
        <f aca="false">IFERROR(C143/D143*1000,"")</f>
        <v/>
      </c>
      <c r="J143" s="11"/>
      <c r="K143" s="20" t="str">
        <f aca="false">IFERROR(C143/J143,"")</f>
        <v/>
      </c>
      <c r="L143" s="19" t="str">
        <f aca="false">IFERROR(J143/F143,"")</f>
        <v/>
      </c>
      <c r="M143" s="11"/>
      <c r="N143" s="11"/>
      <c r="O143" s="21"/>
    </row>
    <row r="144" customFormat="false" ht="21.75" hidden="false" customHeight="true" outlineLevel="0" collapsed="false">
      <c r="A144" s="22"/>
      <c r="B144" s="5"/>
      <c r="C144" s="7"/>
      <c r="D144" s="23"/>
      <c r="E144" s="23"/>
      <c r="F144" s="23"/>
      <c r="G144" s="19" t="str">
        <f aca="false">IFERROR(F144/D144,"")</f>
        <v/>
      </c>
      <c r="H144" s="20" t="str">
        <f aca="false">IFERROR(C144/F144,"")</f>
        <v/>
      </c>
      <c r="I144" s="20" t="str">
        <f aca="false">IFERROR(C144/D144*1000,"")</f>
        <v/>
      </c>
      <c r="J144" s="5"/>
      <c r="K144" s="20" t="str">
        <f aca="false">IFERROR(C144/J144,"")</f>
        <v/>
      </c>
      <c r="L144" s="19" t="str">
        <f aca="false">IFERROR(J144/F144,"")</f>
        <v/>
      </c>
      <c r="M144" s="5"/>
      <c r="N144" s="5"/>
      <c r="O144" s="24"/>
    </row>
    <row r="145" customFormat="false" ht="21.75" hidden="false" customHeight="true" outlineLevel="0" collapsed="false">
      <c r="A145" s="17"/>
      <c r="B145" s="11"/>
      <c r="C145" s="12"/>
      <c r="D145" s="18"/>
      <c r="E145" s="18"/>
      <c r="F145" s="18"/>
      <c r="G145" s="19" t="str">
        <f aca="false">IFERROR(F145/D145,"")</f>
        <v/>
      </c>
      <c r="H145" s="20" t="str">
        <f aca="false">IFERROR(C145/F145,"")</f>
        <v/>
      </c>
      <c r="I145" s="20" t="str">
        <f aca="false">IFERROR(C145/D145*1000,"")</f>
        <v/>
      </c>
      <c r="J145" s="11"/>
      <c r="K145" s="20" t="str">
        <f aca="false">IFERROR(C145/J145,"")</f>
        <v/>
      </c>
      <c r="L145" s="19" t="str">
        <f aca="false">IFERROR(J145/F145,"")</f>
        <v/>
      </c>
      <c r="M145" s="11"/>
      <c r="N145" s="11"/>
      <c r="O145" s="21"/>
    </row>
    <row r="146" customFormat="false" ht="21.75" hidden="false" customHeight="true" outlineLevel="0" collapsed="false">
      <c r="A146" s="22"/>
      <c r="B146" s="5"/>
      <c r="C146" s="7"/>
      <c r="D146" s="23"/>
      <c r="E146" s="23"/>
      <c r="F146" s="23"/>
      <c r="G146" s="19" t="str">
        <f aca="false">IFERROR(F146/D146,"")</f>
        <v/>
      </c>
      <c r="H146" s="20" t="str">
        <f aca="false">IFERROR(C146/F146,"")</f>
        <v/>
      </c>
      <c r="I146" s="20" t="str">
        <f aca="false">IFERROR(C146/D146*1000,"")</f>
        <v/>
      </c>
      <c r="J146" s="5"/>
      <c r="K146" s="20" t="str">
        <f aca="false">IFERROR(C146/J146,"")</f>
        <v/>
      </c>
      <c r="L146" s="19" t="str">
        <f aca="false">IFERROR(J146/F146,"")</f>
        <v/>
      </c>
      <c r="M146" s="5"/>
      <c r="N146" s="5"/>
      <c r="O146" s="24"/>
    </row>
    <row r="147" customFormat="false" ht="21.75" hidden="false" customHeight="true" outlineLevel="0" collapsed="false">
      <c r="A147" s="17"/>
      <c r="B147" s="11"/>
      <c r="C147" s="12"/>
      <c r="D147" s="18"/>
      <c r="E147" s="18"/>
      <c r="F147" s="18"/>
      <c r="G147" s="19" t="str">
        <f aca="false">IFERROR(F147/D147,"")</f>
        <v/>
      </c>
      <c r="H147" s="20" t="str">
        <f aca="false">IFERROR(C147/F147,"")</f>
        <v/>
      </c>
      <c r="I147" s="20" t="str">
        <f aca="false">IFERROR(C147/D147*1000,"")</f>
        <v/>
      </c>
      <c r="J147" s="11"/>
      <c r="K147" s="20" t="str">
        <f aca="false">IFERROR(C147/J147,"")</f>
        <v/>
      </c>
      <c r="L147" s="19" t="str">
        <f aca="false">IFERROR(J147/F147,"")</f>
        <v/>
      </c>
      <c r="M147" s="11"/>
      <c r="N147" s="11"/>
      <c r="O147" s="21"/>
    </row>
    <row r="148" customFormat="false" ht="21.75" hidden="false" customHeight="true" outlineLevel="0" collapsed="false">
      <c r="A148" s="22"/>
      <c r="B148" s="5"/>
      <c r="C148" s="7"/>
      <c r="D148" s="23"/>
      <c r="E148" s="23"/>
      <c r="F148" s="23"/>
      <c r="G148" s="19" t="str">
        <f aca="false">IFERROR(F148/D148,"")</f>
        <v/>
      </c>
      <c r="H148" s="20" t="str">
        <f aca="false">IFERROR(C148/F148,"")</f>
        <v/>
      </c>
      <c r="I148" s="20" t="str">
        <f aca="false">IFERROR(C148/D148*1000,"")</f>
        <v/>
      </c>
      <c r="J148" s="5"/>
      <c r="K148" s="20" t="str">
        <f aca="false">IFERROR(C148/J148,"")</f>
        <v/>
      </c>
      <c r="L148" s="19" t="str">
        <f aca="false">IFERROR(J148/F148,"")</f>
        <v/>
      </c>
      <c r="M148" s="5"/>
      <c r="N148" s="5"/>
      <c r="O148" s="24"/>
    </row>
    <row r="149" customFormat="false" ht="21.75" hidden="false" customHeight="true" outlineLevel="0" collapsed="false">
      <c r="A149" s="17"/>
      <c r="B149" s="11"/>
      <c r="C149" s="12"/>
      <c r="D149" s="18"/>
      <c r="E149" s="18"/>
      <c r="F149" s="18"/>
      <c r="G149" s="19" t="str">
        <f aca="false">IFERROR(F149/D149,"")</f>
        <v/>
      </c>
      <c r="H149" s="20" t="str">
        <f aca="false">IFERROR(C149/F149,"")</f>
        <v/>
      </c>
      <c r="I149" s="20" t="str">
        <f aca="false">IFERROR(C149/D149*1000,"")</f>
        <v/>
      </c>
      <c r="J149" s="11"/>
      <c r="K149" s="20" t="str">
        <f aca="false">IFERROR(C149/J149,"")</f>
        <v/>
      </c>
      <c r="L149" s="19" t="str">
        <f aca="false">IFERROR(J149/F149,"")</f>
        <v/>
      </c>
      <c r="M149" s="11"/>
      <c r="N149" s="11"/>
      <c r="O149" s="21"/>
    </row>
    <row r="150" customFormat="false" ht="21.75" hidden="false" customHeight="true" outlineLevel="0" collapsed="false">
      <c r="A150" s="22"/>
      <c r="B150" s="5"/>
      <c r="C150" s="7"/>
      <c r="D150" s="23"/>
      <c r="E150" s="23"/>
      <c r="F150" s="23"/>
      <c r="G150" s="19" t="str">
        <f aca="false">IFERROR(F150/D150,"")</f>
        <v/>
      </c>
      <c r="H150" s="20" t="str">
        <f aca="false">IFERROR(C150/F150,"")</f>
        <v/>
      </c>
      <c r="I150" s="20" t="str">
        <f aca="false">IFERROR(C150/D150*1000,"")</f>
        <v/>
      </c>
      <c r="J150" s="5"/>
      <c r="K150" s="20" t="str">
        <f aca="false">IFERROR(C150/J150,"")</f>
        <v/>
      </c>
      <c r="L150" s="19" t="str">
        <f aca="false">IFERROR(J150/F150,"")</f>
        <v/>
      </c>
      <c r="M150" s="5"/>
      <c r="N150" s="5"/>
      <c r="O150" s="24"/>
    </row>
    <row r="151" customFormat="false" ht="21.75" hidden="false" customHeight="true" outlineLevel="0" collapsed="false">
      <c r="A151" s="17"/>
      <c r="B151" s="11"/>
      <c r="C151" s="12"/>
      <c r="D151" s="18"/>
      <c r="E151" s="18"/>
      <c r="F151" s="18"/>
      <c r="G151" s="19" t="str">
        <f aca="false">IFERROR(F151/D151,"")</f>
        <v/>
      </c>
      <c r="H151" s="20" t="str">
        <f aca="false">IFERROR(C151/F151,"")</f>
        <v/>
      </c>
      <c r="I151" s="20" t="str">
        <f aca="false">IFERROR(C151/D151*1000,"")</f>
        <v/>
      </c>
      <c r="J151" s="11"/>
      <c r="K151" s="20" t="str">
        <f aca="false">IFERROR(C151/J151,"")</f>
        <v/>
      </c>
      <c r="L151" s="19" t="str">
        <f aca="false">IFERROR(J151/F151,"")</f>
        <v/>
      </c>
      <c r="M151" s="11"/>
      <c r="N151" s="11"/>
      <c r="O151" s="21"/>
    </row>
    <row r="152" customFormat="false" ht="21.75" hidden="false" customHeight="true" outlineLevel="0" collapsed="false">
      <c r="A152" s="22"/>
      <c r="B152" s="5"/>
      <c r="C152" s="7"/>
      <c r="D152" s="23"/>
      <c r="E152" s="23"/>
      <c r="F152" s="23"/>
      <c r="G152" s="19" t="str">
        <f aca="false">IFERROR(F152/D152,"")</f>
        <v/>
      </c>
      <c r="H152" s="20" t="str">
        <f aca="false">IFERROR(C152/F152,"")</f>
        <v/>
      </c>
      <c r="I152" s="20" t="str">
        <f aca="false">IFERROR(C152/D152*1000,"")</f>
        <v/>
      </c>
      <c r="J152" s="5"/>
      <c r="K152" s="20" t="str">
        <f aca="false">IFERROR(C152/J152,"")</f>
        <v/>
      </c>
      <c r="L152" s="19" t="str">
        <f aca="false">IFERROR(J152/F152,"")</f>
        <v/>
      </c>
      <c r="M152" s="5"/>
      <c r="N152" s="5"/>
      <c r="O152" s="24"/>
    </row>
    <row r="153" customFormat="false" ht="21.75" hidden="false" customHeight="true" outlineLevel="0" collapsed="false">
      <c r="A153" s="17"/>
      <c r="B153" s="11"/>
      <c r="C153" s="12"/>
      <c r="D153" s="18"/>
      <c r="E153" s="18"/>
      <c r="F153" s="18"/>
      <c r="G153" s="19" t="str">
        <f aca="false">IFERROR(F153/D153,"")</f>
        <v/>
      </c>
      <c r="H153" s="20" t="str">
        <f aca="false">IFERROR(C153/F153,"")</f>
        <v/>
      </c>
      <c r="I153" s="20" t="str">
        <f aca="false">IFERROR(C153/D153*1000,"")</f>
        <v/>
      </c>
      <c r="J153" s="11"/>
      <c r="K153" s="20" t="str">
        <f aca="false">IFERROR(C153/J153,"")</f>
        <v/>
      </c>
      <c r="L153" s="19" t="str">
        <f aca="false">IFERROR(J153/F153,"")</f>
        <v/>
      </c>
      <c r="M153" s="11"/>
      <c r="N153" s="11"/>
      <c r="O153" s="21"/>
    </row>
    <row r="154" customFormat="false" ht="21.75" hidden="false" customHeight="true" outlineLevel="0" collapsed="false">
      <c r="A154" s="22"/>
      <c r="B154" s="5"/>
      <c r="C154" s="7"/>
      <c r="D154" s="23"/>
      <c r="E154" s="23"/>
      <c r="F154" s="23"/>
      <c r="G154" s="19" t="str">
        <f aca="false">IFERROR(F154/D154,"")</f>
        <v/>
      </c>
      <c r="H154" s="20" t="str">
        <f aca="false">IFERROR(C154/F154,"")</f>
        <v/>
      </c>
      <c r="I154" s="20" t="str">
        <f aca="false">IFERROR(C154/D154*1000,"")</f>
        <v/>
      </c>
      <c r="J154" s="5"/>
      <c r="K154" s="20" t="str">
        <f aca="false">IFERROR(C154/J154,"")</f>
        <v/>
      </c>
      <c r="L154" s="19" t="str">
        <f aca="false">IFERROR(J154/F154,"")</f>
        <v/>
      </c>
      <c r="M154" s="5"/>
      <c r="N154" s="5"/>
      <c r="O154" s="24"/>
    </row>
    <row r="155" customFormat="false" ht="21.75" hidden="false" customHeight="true" outlineLevel="0" collapsed="false">
      <c r="A155" s="17"/>
      <c r="B155" s="11"/>
      <c r="C155" s="12"/>
      <c r="D155" s="18"/>
      <c r="E155" s="18"/>
      <c r="F155" s="18"/>
      <c r="G155" s="19" t="str">
        <f aca="false">IFERROR(F155/D155,"")</f>
        <v/>
      </c>
      <c r="H155" s="20" t="str">
        <f aca="false">IFERROR(C155/F155,"")</f>
        <v/>
      </c>
      <c r="I155" s="20" t="str">
        <f aca="false">IFERROR(C155/D155*1000,"")</f>
        <v/>
      </c>
      <c r="J155" s="11"/>
      <c r="K155" s="20" t="str">
        <f aca="false">IFERROR(C155/J155,"")</f>
        <v/>
      </c>
      <c r="L155" s="19" t="str">
        <f aca="false">IFERROR(J155/F155,"")</f>
        <v/>
      </c>
      <c r="M155" s="11"/>
      <c r="N155" s="11"/>
      <c r="O155" s="21"/>
    </row>
    <row r="156" customFormat="false" ht="21.75" hidden="false" customHeight="true" outlineLevel="0" collapsed="false">
      <c r="A156" s="22"/>
      <c r="B156" s="5"/>
      <c r="C156" s="7"/>
      <c r="D156" s="23"/>
      <c r="E156" s="23"/>
      <c r="F156" s="23"/>
      <c r="G156" s="19" t="str">
        <f aca="false">IFERROR(F156/D156,"")</f>
        <v/>
      </c>
      <c r="H156" s="20" t="str">
        <f aca="false">IFERROR(C156/F156,"")</f>
        <v/>
      </c>
      <c r="I156" s="20" t="str">
        <f aca="false">IFERROR(C156/D156*1000,"")</f>
        <v/>
      </c>
      <c r="J156" s="5"/>
      <c r="K156" s="20" t="str">
        <f aca="false">IFERROR(C156/J156,"")</f>
        <v/>
      </c>
      <c r="L156" s="19" t="str">
        <f aca="false">IFERROR(J156/F156,"")</f>
        <v/>
      </c>
      <c r="M156" s="5"/>
      <c r="N156" s="5"/>
      <c r="O156" s="24"/>
    </row>
    <row r="157" customFormat="false" ht="21.75" hidden="false" customHeight="true" outlineLevel="0" collapsed="false">
      <c r="A157" s="17"/>
      <c r="B157" s="11"/>
      <c r="C157" s="12"/>
      <c r="D157" s="18"/>
      <c r="E157" s="18"/>
      <c r="F157" s="18"/>
      <c r="G157" s="19" t="str">
        <f aca="false">IFERROR(F157/D157,"")</f>
        <v/>
      </c>
      <c r="H157" s="20" t="str">
        <f aca="false">IFERROR(C157/F157,"")</f>
        <v/>
      </c>
      <c r="I157" s="20" t="str">
        <f aca="false">IFERROR(C157/D157*1000,"")</f>
        <v/>
      </c>
      <c r="J157" s="11"/>
      <c r="K157" s="20" t="str">
        <f aca="false">IFERROR(C157/J157,"")</f>
        <v/>
      </c>
      <c r="L157" s="19" t="str">
        <f aca="false">IFERROR(J157/F157,"")</f>
        <v/>
      </c>
      <c r="M157" s="11"/>
      <c r="N157" s="11"/>
      <c r="O157" s="21"/>
    </row>
    <row r="158" customFormat="false" ht="21.75" hidden="false" customHeight="true" outlineLevel="0" collapsed="false">
      <c r="A158" s="22"/>
      <c r="B158" s="5"/>
      <c r="C158" s="7"/>
      <c r="D158" s="23"/>
      <c r="E158" s="23"/>
      <c r="F158" s="23"/>
      <c r="G158" s="19" t="str">
        <f aca="false">IFERROR(F158/D158,"")</f>
        <v/>
      </c>
      <c r="H158" s="20" t="str">
        <f aca="false">IFERROR(C158/F158,"")</f>
        <v/>
      </c>
      <c r="I158" s="20" t="str">
        <f aca="false">IFERROR(C158/D158*1000,"")</f>
        <v/>
      </c>
      <c r="J158" s="5"/>
      <c r="K158" s="20" t="str">
        <f aca="false">IFERROR(C158/J158,"")</f>
        <v/>
      </c>
      <c r="L158" s="19" t="str">
        <f aca="false">IFERROR(J158/F158,"")</f>
        <v/>
      </c>
      <c r="M158" s="5"/>
      <c r="N158" s="5"/>
      <c r="O158" s="24"/>
    </row>
    <row r="159" customFormat="false" ht="21.75" hidden="false" customHeight="true" outlineLevel="0" collapsed="false">
      <c r="A159" s="17"/>
      <c r="B159" s="11"/>
      <c r="C159" s="12"/>
      <c r="D159" s="18"/>
      <c r="E159" s="18"/>
      <c r="F159" s="18"/>
      <c r="G159" s="19" t="str">
        <f aca="false">IFERROR(F159/D159,"")</f>
        <v/>
      </c>
      <c r="H159" s="20" t="str">
        <f aca="false">IFERROR(C159/F159,"")</f>
        <v/>
      </c>
      <c r="I159" s="20" t="str">
        <f aca="false">IFERROR(C159/D159*1000,"")</f>
        <v/>
      </c>
      <c r="J159" s="11"/>
      <c r="K159" s="20" t="str">
        <f aca="false">IFERROR(C159/J159,"")</f>
        <v/>
      </c>
      <c r="L159" s="19" t="str">
        <f aca="false">IFERROR(J159/F159,"")</f>
        <v/>
      </c>
      <c r="M159" s="11"/>
      <c r="N159" s="11"/>
      <c r="O159" s="21"/>
    </row>
    <row r="160" customFormat="false" ht="21.75" hidden="false" customHeight="true" outlineLevel="0" collapsed="false">
      <c r="A160" s="22"/>
      <c r="B160" s="5"/>
      <c r="C160" s="7"/>
      <c r="D160" s="23"/>
      <c r="E160" s="23"/>
      <c r="F160" s="23"/>
      <c r="G160" s="19" t="str">
        <f aca="false">IFERROR(F160/D160,"")</f>
        <v/>
      </c>
      <c r="H160" s="20" t="str">
        <f aca="false">IFERROR(C160/F160,"")</f>
        <v/>
      </c>
      <c r="I160" s="20" t="str">
        <f aca="false">IFERROR(C160/D160*1000,"")</f>
        <v/>
      </c>
      <c r="J160" s="5"/>
      <c r="K160" s="20" t="str">
        <f aca="false">IFERROR(C160/J160,"")</f>
        <v/>
      </c>
      <c r="L160" s="19" t="str">
        <f aca="false">IFERROR(J160/F160,"")</f>
        <v/>
      </c>
      <c r="M160" s="5"/>
      <c r="N160" s="5"/>
      <c r="O160" s="24"/>
    </row>
    <row r="161" customFormat="false" ht="21.75" hidden="false" customHeight="true" outlineLevel="0" collapsed="false">
      <c r="A161" s="17"/>
      <c r="B161" s="11"/>
      <c r="C161" s="12"/>
      <c r="D161" s="18"/>
      <c r="E161" s="18"/>
      <c r="F161" s="18"/>
      <c r="G161" s="19" t="str">
        <f aca="false">IFERROR(F161/D161,"")</f>
        <v/>
      </c>
      <c r="H161" s="20" t="str">
        <f aca="false">IFERROR(C161/F161,"")</f>
        <v/>
      </c>
      <c r="I161" s="20" t="str">
        <f aca="false">IFERROR(C161/D161*1000,"")</f>
        <v/>
      </c>
      <c r="J161" s="11"/>
      <c r="K161" s="20" t="str">
        <f aca="false">IFERROR(C161/J161,"")</f>
        <v/>
      </c>
      <c r="L161" s="19" t="str">
        <f aca="false">IFERROR(J161/F161,"")</f>
        <v/>
      </c>
      <c r="M161" s="11"/>
      <c r="N161" s="11"/>
      <c r="O161" s="21"/>
    </row>
    <row r="162" customFormat="false" ht="21.75" hidden="false" customHeight="true" outlineLevel="0" collapsed="false">
      <c r="A162" s="22"/>
      <c r="B162" s="5"/>
      <c r="C162" s="7"/>
      <c r="D162" s="23"/>
      <c r="E162" s="23"/>
      <c r="F162" s="23"/>
      <c r="G162" s="19" t="str">
        <f aca="false">IFERROR(F162/D162,"")</f>
        <v/>
      </c>
      <c r="H162" s="20" t="str">
        <f aca="false">IFERROR(C162/F162,"")</f>
        <v/>
      </c>
      <c r="I162" s="20" t="str">
        <f aca="false">IFERROR(C162/D162*1000,"")</f>
        <v/>
      </c>
      <c r="J162" s="5"/>
      <c r="K162" s="20" t="str">
        <f aca="false">IFERROR(C162/J162,"")</f>
        <v/>
      </c>
      <c r="L162" s="19" t="str">
        <f aca="false">IFERROR(J162/F162,"")</f>
        <v/>
      </c>
      <c r="M162" s="5"/>
      <c r="N162" s="5"/>
      <c r="O162" s="24"/>
    </row>
    <row r="163" customFormat="false" ht="21.75" hidden="false" customHeight="true" outlineLevel="0" collapsed="false">
      <c r="A163" s="17"/>
      <c r="B163" s="11"/>
      <c r="C163" s="12"/>
      <c r="D163" s="18"/>
      <c r="E163" s="18"/>
      <c r="F163" s="18"/>
      <c r="G163" s="19" t="str">
        <f aca="false">IFERROR(F163/D163,"")</f>
        <v/>
      </c>
      <c r="H163" s="20" t="str">
        <f aca="false">IFERROR(C163/F163,"")</f>
        <v/>
      </c>
      <c r="I163" s="20" t="str">
        <f aca="false">IFERROR(C163/D163*1000,"")</f>
        <v/>
      </c>
      <c r="J163" s="11"/>
      <c r="K163" s="20" t="str">
        <f aca="false">IFERROR(C163/J163,"")</f>
        <v/>
      </c>
      <c r="L163" s="19" t="str">
        <f aca="false">IFERROR(J163/F163,"")</f>
        <v/>
      </c>
      <c r="M163" s="11"/>
      <c r="N163" s="11"/>
      <c r="O163" s="21"/>
    </row>
    <row r="164" customFormat="false" ht="21.75" hidden="false" customHeight="true" outlineLevel="0" collapsed="false">
      <c r="A164" s="22"/>
      <c r="B164" s="5"/>
      <c r="C164" s="7"/>
      <c r="D164" s="23"/>
      <c r="E164" s="23"/>
      <c r="F164" s="23"/>
      <c r="G164" s="19" t="str">
        <f aca="false">IFERROR(F164/D164,"")</f>
        <v/>
      </c>
      <c r="H164" s="20" t="str">
        <f aca="false">IFERROR(C164/F164,"")</f>
        <v/>
      </c>
      <c r="I164" s="20" t="str">
        <f aca="false">IFERROR(C164/D164*1000,"")</f>
        <v/>
      </c>
      <c r="J164" s="5"/>
      <c r="K164" s="20" t="str">
        <f aca="false">IFERROR(C164/J164,"")</f>
        <v/>
      </c>
      <c r="L164" s="19" t="str">
        <f aca="false">IFERROR(J164/F164,"")</f>
        <v/>
      </c>
      <c r="M164" s="5"/>
      <c r="N164" s="5"/>
      <c r="O164" s="24"/>
    </row>
    <row r="165" customFormat="false" ht="21.75" hidden="false" customHeight="true" outlineLevel="0" collapsed="false">
      <c r="A165" s="17"/>
      <c r="B165" s="11"/>
      <c r="C165" s="12"/>
      <c r="D165" s="18"/>
      <c r="E165" s="18"/>
      <c r="F165" s="18"/>
      <c r="G165" s="19" t="str">
        <f aca="false">IFERROR(F165/D165,"")</f>
        <v/>
      </c>
      <c r="H165" s="20" t="str">
        <f aca="false">IFERROR(C165/F165,"")</f>
        <v/>
      </c>
      <c r="I165" s="20" t="str">
        <f aca="false">IFERROR(C165/D165*1000,"")</f>
        <v/>
      </c>
      <c r="J165" s="11"/>
      <c r="K165" s="20" t="str">
        <f aca="false">IFERROR(C165/J165,"")</f>
        <v/>
      </c>
      <c r="L165" s="19" t="str">
        <f aca="false">IFERROR(J165/F165,"")</f>
        <v/>
      </c>
      <c r="M165" s="11"/>
      <c r="N165" s="11"/>
      <c r="O165" s="21"/>
    </row>
    <row r="166" customFormat="false" ht="21.75" hidden="false" customHeight="true" outlineLevel="0" collapsed="false">
      <c r="A166" s="22"/>
      <c r="B166" s="5"/>
      <c r="C166" s="7"/>
      <c r="D166" s="23"/>
      <c r="E166" s="23"/>
      <c r="F166" s="23"/>
      <c r="G166" s="19" t="str">
        <f aca="false">IFERROR(F166/D166,"")</f>
        <v/>
      </c>
      <c r="H166" s="20" t="str">
        <f aca="false">IFERROR(C166/F166,"")</f>
        <v/>
      </c>
      <c r="I166" s="20" t="str">
        <f aca="false">IFERROR(C166/D166*1000,"")</f>
        <v/>
      </c>
      <c r="J166" s="5"/>
      <c r="K166" s="20" t="str">
        <f aca="false">IFERROR(C166/J166,"")</f>
        <v/>
      </c>
      <c r="L166" s="19" t="str">
        <f aca="false">IFERROR(J166/F166,"")</f>
        <v/>
      </c>
      <c r="M166" s="5"/>
      <c r="N166" s="5"/>
      <c r="O166" s="24"/>
    </row>
    <row r="167" customFormat="false" ht="21.75" hidden="false" customHeight="true" outlineLevel="0" collapsed="false">
      <c r="A167" s="17"/>
      <c r="B167" s="11"/>
      <c r="C167" s="12"/>
      <c r="D167" s="18"/>
      <c r="E167" s="18"/>
      <c r="F167" s="18"/>
      <c r="G167" s="19" t="str">
        <f aca="false">IFERROR(F167/D167,"")</f>
        <v/>
      </c>
      <c r="H167" s="20" t="str">
        <f aca="false">IFERROR(C167/F167,"")</f>
        <v/>
      </c>
      <c r="I167" s="20" t="str">
        <f aca="false">IFERROR(C167/D167*1000,"")</f>
        <v/>
      </c>
      <c r="J167" s="11"/>
      <c r="K167" s="20" t="str">
        <f aca="false">IFERROR(C167/J167,"")</f>
        <v/>
      </c>
      <c r="L167" s="19" t="str">
        <f aca="false">IFERROR(J167/F167,"")</f>
        <v/>
      </c>
      <c r="M167" s="11"/>
      <c r="N167" s="11"/>
      <c r="O167" s="21"/>
    </row>
    <row r="168" customFormat="false" ht="21.75" hidden="false" customHeight="true" outlineLevel="0" collapsed="false">
      <c r="A168" s="22"/>
      <c r="B168" s="5"/>
      <c r="C168" s="7"/>
      <c r="D168" s="23"/>
      <c r="E168" s="23"/>
      <c r="F168" s="23"/>
      <c r="G168" s="19" t="str">
        <f aca="false">IFERROR(F168/D168,"")</f>
        <v/>
      </c>
      <c r="H168" s="20" t="str">
        <f aca="false">IFERROR(C168/F168,"")</f>
        <v/>
      </c>
      <c r="I168" s="20" t="str">
        <f aca="false">IFERROR(C168/D168*1000,"")</f>
        <v/>
      </c>
      <c r="J168" s="5"/>
      <c r="K168" s="20" t="str">
        <f aca="false">IFERROR(C168/J168,"")</f>
        <v/>
      </c>
      <c r="L168" s="19" t="str">
        <f aca="false">IFERROR(J168/F168,"")</f>
        <v/>
      </c>
      <c r="M168" s="5"/>
      <c r="N168" s="5"/>
      <c r="O168" s="24"/>
    </row>
    <row r="169" customFormat="false" ht="21.75" hidden="false" customHeight="true" outlineLevel="0" collapsed="false">
      <c r="A169" s="17"/>
      <c r="B169" s="11"/>
      <c r="C169" s="12"/>
      <c r="D169" s="18"/>
      <c r="E169" s="18"/>
      <c r="F169" s="18"/>
      <c r="G169" s="19" t="str">
        <f aca="false">IFERROR(F169/D169,"")</f>
        <v/>
      </c>
      <c r="H169" s="20" t="str">
        <f aca="false">IFERROR(C169/F169,"")</f>
        <v/>
      </c>
      <c r="I169" s="20" t="str">
        <f aca="false">IFERROR(C169/D169*1000,"")</f>
        <v/>
      </c>
      <c r="J169" s="11"/>
      <c r="K169" s="20" t="str">
        <f aca="false">IFERROR(C169/J169,"")</f>
        <v/>
      </c>
      <c r="L169" s="19" t="str">
        <f aca="false">IFERROR(J169/F169,"")</f>
        <v/>
      </c>
      <c r="M169" s="11"/>
      <c r="N169" s="11"/>
      <c r="O169" s="21"/>
    </row>
    <row r="170" customFormat="false" ht="21.75" hidden="false" customHeight="true" outlineLevel="0" collapsed="false">
      <c r="A170" s="22"/>
      <c r="B170" s="5"/>
      <c r="C170" s="7"/>
      <c r="D170" s="23"/>
      <c r="E170" s="23"/>
      <c r="F170" s="23"/>
      <c r="G170" s="19" t="str">
        <f aca="false">IFERROR(F170/D170,"")</f>
        <v/>
      </c>
      <c r="H170" s="20" t="str">
        <f aca="false">IFERROR(C170/F170,"")</f>
        <v/>
      </c>
      <c r="I170" s="20" t="str">
        <f aca="false">IFERROR(C170/D170*1000,"")</f>
        <v/>
      </c>
      <c r="J170" s="5"/>
      <c r="K170" s="20" t="str">
        <f aca="false">IFERROR(C170/J170,"")</f>
        <v/>
      </c>
      <c r="L170" s="19" t="str">
        <f aca="false">IFERROR(J170/F170,"")</f>
        <v/>
      </c>
      <c r="M170" s="5"/>
      <c r="N170" s="5"/>
      <c r="O170" s="24"/>
    </row>
    <row r="171" customFormat="false" ht="21.75" hidden="false" customHeight="true" outlineLevel="0" collapsed="false">
      <c r="A171" s="17"/>
      <c r="B171" s="11"/>
      <c r="C171" s="12"/>
      <c r="D171" s="18"/>
      <c r="E171" s="18"/>
      <c r="F171" s="18"/>
      <c r="G171" s="19" t="str">
        <f aca="false">IFERROR(F171/D171,"")</f>
        <v/>
      </c>
      <c r="H171" s="20" t="str">
        <f aca="false">IFERROR(C171/F171,"")</f>
        <v/>
      </c>
      <c r="I171" s="20" t="str">
        <f aca="false">IFERROR(C171/D171*1000,"")</f>
        <v/>
      </c>
      <c r="J171" s="11"/>
      <c r="K171" s="20" t="str">
        <f aca="false">IFERROR(C171/J171,"")</f>
        <v/>
      </c>
      <c r="L171" s="19" t="str">
        <f aca="false">IFERROR(J171/F171,"")</f>
        <v/>
      </c>
      <c r="M171" s="11"/>
      <c r="N171" s="11"/>
      <c r="O171" s="21"/>
    </row>
    <row r="172" customFormat="false" ht="21.75" hidden="false" customHeight="true" outlineLevel="0" collapsed="false">
      <c r="A172" s="22"/>
      <c r="B172" s="5"/>
      <c r="C172" s="7"/>
      <c r="D172" s="23"/>
      <c r="E172" s="23"/>
      <c r="F172" s="23"/>
      <c r="G172" s="19" t="str">
        <f aca="false">IFERROR(F172/D172,"")</f>
        <v/>
      </c>
      <c r="H172" s="20" t="str">
        <f aca="false">IFERROR(C172/F172,"")</f>
        <v/>
      </c>
      <c r="I172" s="20" t="str">
        <f aca="false">IFERROR(C172/D172*1000,"")</f>
        <v/>
      </c>
      <c r="J172" s="5"/>
      <c r="K172" s="20" t="str">
        <f aca="false">IFERROR(C172/J172,"")</f>
        <v/>
      </c>
      <c r="L172" s="19" t="str">
        <f aca="false">IFERROR(J172/F172,"")</f>
        <v/>
      </c>
      <c r="M172" s="5"/>
      <c r="N172" s="5"/>
      <c r="O172" s="24"/>
    </row>
    <row r="173" customFormat="false" ht="21.75" hidden="false" customHeight="true" outlineLevel="0" collapsed="false">
      <c r="A173" s="17"/>
      <c r="B173" s="11"/>
      <c r="C173" s="12"/>
      <c r="D173" s="18"/>
      <c r="E173" s="18"/>
      <c r="F173" s="18"/>
      <c r="G173" s="19" t="str">
        <f aca="false">IFERROR(F173/D173,"")</f>
        <v/>
      </c>
      <c r="H173" s="20" t="str">
        <f aca="false">IFERROR(C173/F173,"")</f>
        <v/>
      </c>
      <c r="I173" s="20" t="str">
        <f aca="false">IFERROR(C173/D173*1000,"")</f>
        <v/>
      </c>
      <c r="J173" s="11"/>
      <c r="K173" s="20" t="str">
        <f aca="false">IFERROR(C173/J173,"")</f>
        <v/>
      </c>
      <c r="L173" s="19" t="str">
        <f aca="false">IFERROR(J173/F173,"")</f>
        <v/>
      </c>
      <c r="M173" s="11"/>
      <c r="N173" s="11"/>
      <c r="O173" s="21"/>
    </row>
    <row r="174" customFormat="false" ht="21.75" hidden="false" customHeight="true" outlineLevel="0" collapsed="false">
      <c r="A174" s="22"/>
      <c r="B174" s="5"/>
      <c r="C174" s="7"/>
      <c r="D174" s="23"/>
      <c r="E174" s="23"/>
      <c r="F174" s="23"/>
      <c r="G174" s="19" t="str">
        <f aca="false">IFERROR(F174/D174,"")</f>
        <v/>
      </c>
      <c r="H174" s="20" t="str">
        <f aca="false">IFERROR(C174/F174,"")</f>
        <v/>
      </c>
      <c r="I174" s="20" t="str">
        <f aca="false">IFERROR(C174/D174*1000,"")</f>
        <v/>
      </c>
      <c r="J174" s="5"/>
      <c r="K174" s="20" t="str">
        <f aca="false">IFERROR(C174/J174,"")</f>
        <v/>
      </c>
      <c r="L174" s="19" t="str">
        <f aca="false">IFERROR(J174/F174,"")</f>
        <v/>
      </c>
      <c r="M174" s="5"/>
      <c r="N174" s="5"/>
      <c r="O174" s="24"/>
    </row>
    <row r="175" customFormat="false" ht="21.75" hidden="false" customHeight="true" outlineLevel="0" collapsed="false">
      <c r="A175" s="17"/>
      <c r="B175" s="11"/>
      <c r="C175" s="12"/>
      <c r="D175" s="18"/>
      <c r="E175" s="18"/>
      <c r="F175" s="18"/>
      <c r="G175" s="19" t="str">
        <f aca="false">IFERROR(F175/D175,"")</f>
        <v/>
      </c>
      <c r="H175" s="20" t="str">
        <f aca="false">IFERROR(C175/F175,"")</f>
        <v/>
      </c>
      <c r="I175" s="20" t="str">
        <f aca="false">IFERROR(C175/D175*1000,"")</f>
        <v/>
      </c>
      <c r="J175" s="11"/>
      <c r="K175" s="20" t="str">
        <f aca="false">IFERROR(C175/J175,"")</f>
        <v/>
      </c>
      <c r="L175" s="19" t="str">
        <f aca="false">IFERROR(J175/F175,"")</f>
        <v/>
      </c>
      <c r="M175" s="11"/>
      <c r="N175" s="11"/>
      <c r="O175" s="21"/>
    </row>
    <row r="176" customFormat="false" ht="21.75" hidden="false" customHeight="true" outlineLevel="0" collapsed="false">
      <c r="A176" s="22"/>
      <c r="B176" s="5"/>
      <c r="C176" s="7"/>
      <c r="D176" s="23"/>
      <c r="E176" s="23"/>
      <c r="F176" s="23"/>
      <c r="G176" s="19" t="str">
        <f aca="false">IFERROR(F176/D176,"")</f>
        <v/>
      </c>
      <c r="H176" s="20" t="str">
        <f aca="false">IFERROR(C176/F176,"")</f>
        <v/>
      </c>
      <c r="I176" s="20" t="str">
        <f aca="false">IFERROR(C176/D176*1000,"")</f>
        <v/>
      </c>
      <c r="J176" s="5"/>
      <c r="K176" s="20" t="str">
        <f aca="false">IFERROR(C176/J176,"")</f>
        <v/>
      </c>
      <c r="L176" s="19" t="str">
        <f aca="false">IFERROR(J176/F176,"")</f>
        <v/>
      </c>
      <c r="M176" s="5"/>
      <c r="N176" s="5"/>
      <c r="O176" s="24"/>
    </row>
    <row r="177" customFormat="false" ht="21.75" hidden="false" customHeight="true" outlineLevel="0" collapsed="false">
      <c r="A177" s="17"/>
      <c r="B177" s="11"/>
      <c r="C177" s="12"/>
      <c r="D177" s="18"/>
      <c r="E177" s="18"/>
      <c r="F177" s="18"/>
      <c r="G177" s="19" t="str">
        <f aca="false">IFERROR(F177/D177,"")</f>
        <v/>
      </c>
      <c r="H177" s="20" t="str">
        <f aca="false">IFERROR(C177/F177,"")</f>
        <v/>
      </c>
      <c r="I177" s="20" t="str">
        <f aca="false">IFERROR(C177/D177*1000,"")</f>
        <v/>
      </c>
      <c r="J177" s="11"/>
      <c r="K177" s="20" t="str">
        <f aca="false">IFERROR(C177/J177,"")</f>
        <v/>
      </c>
      <c r="L177" s="19" t="str">
        <f aca="false">IFERROR(J177/F177,"")</f>
        <v/>
      </c>
      <c r="M177" s="11"/>
      <c r="N177" s="11"/>
      <c r="O177" s="21"/>
    </row>
    <row r="178" customFormat="false" ht="21.75" hidden="false" customHeight="true" outlineLevel="0" collapsed="false">
      <c r="A178" s="22"/>
      <c r="B178" s="5"/>
      <c r="C178" s="7"/>
      <c r="D178" s="23"/>
      <c r="E178" s="23"/>
      <c r="F178" s="23"/>
      <c r="G178" s="19" t="str">
        <f aca="false">IFERROR(F178/D178,"")</f>
        <v/>
      </c>
      <c r="H178" s="20" t="str">
        <f aca="false">IFERROR(C178/F178,"")</f>
        <v/>
      </c>
      <c r="I178" s="20" t="str">
        <f aca="false">IFERROR(C178/D178*1000,"")</f>
        <v/>
      </c>
      <c r="J178" s="5"/>
      <c r="K178" s="20" t="str">
        <f aca="false">IFERROR(C178/J178,"")</f>
        <v/>
      </c>
      <c r="L178" s="19" t="str">
        <f aca="false">IFERROR(J178/F178,"")</f>
        <v/>
      </c>
      <c r="M178" s="5"/>
      <c r="N178" s="5"/>
      <c r="O178" s="24"/>
    </row>
    <row r="179" customFormat="false" ht="21.75" hidden="false" customHeight="true" outlineLevel="0" collapsed="false">
      <c r="A179" s="17"/>
      <c r="B179" s="11"/>
      <c r="C179" s="12"/>
      <c r="D179" s="18"/>
      <c r="E179" s="18"/>
      <c r="F179" s="18"/>
      <c r="G179" s="19" t="str">
        <f aca="false">IFERROR(F179/D179,"")</f>
        <v/>
      </c>
      <c r="H179" s="20" t="str">
        <f aca="false">IFERROR(C179/F179,"")</f>
        <v/>
      </c>
      <c r="I179" s="20" t="str">
        <f aca="false">IFERROR(C179/D179*1000,"")</f>
        <v/>
      </c>
      <c r="J179" s="11"/>
      <c r="K179" s="20" t="str">
        <f aca="false">IFERROR(C179/J179,"")</f>
        <v/>
      </c>
      <c r="L179" s="19" t="str">
        <f aca="false">IFERROR(J179/F179,"")</f>
        <v/>
      </c>
      <c r="M179" s="11"/>
      <c r="N179" s="11"/>
      <c r="O179" s="21"/>
    </row>
    <row r="180" customFormat="false" ht="21.75" hidden="false" customHeight="true" outlineLevel="0" collapsed="false">
      <c r="A180" s="22"/>
      <c r="B180" s="5"/>
      <c r="C180" s="7"/>
      <c r="D180" s="23"/>
      <c r="E180" s="23"/>
      <c r="F180" s="23"/>
      <c r="G180" s="19" t="str">
        <f aca="false">IFERROR(F180/D180,"")</f>
        <v/>
      </c>
      <c r="H180" s="20" t="str">
        <f aca="false">IFERROR(C180/F180,"")</f>
        <v/>
      </c>
      <c r="I180" s="20" t="str">
        <f aca="false">IFERROR(C180/D180*1000,"")</f>
        <v/>
      </c>
      <c r="J180" s="5"/>
      <c r="K180" s="20" t="str">
        <f aca="false">IFERROR(C180/J180,"")</f>
        <v/>
      </c>
      <c r="L180" s="19" t="str">
        <f aca="false">IFERROR(J180/F180,"")</f>
        <v/>
      </c>
      <c r="M180" s="5"/>
      <c r="N180" s="5"/>
      <c r="O180" s="24"/>
    </row>
    <row r="181" customFormat="false" ht="21.75" hidden="false" customHeight="true" outlineLevel="0" collapsed="false">
      <c r="A181" s="17"/>
      <c r="B181" s="11"/>
      <c r="C181" s="12"/>
      <c r="D181" s="18"/>
      <c r="E181" s="18"/>
      <c r="F181" s="18"/>
      <c r="G181" s="19" t="str">
        <f aca="false">IFERROR(F181/D181,"")</f>
        <v/>
      </c>
      <c r="H181" s="20" t="str">
        <f aca="false">IFERROR(C181/F181,"")</f>
        <v/>
      </c>
      <c r="I181" s="20" t="str">
        <f aca="false">IFERROR(C181/D181*1000,"")</f>
        <v/>
      </c>
      <c r="J181" s="11"/>
      <c r="K181" s="20" t="str">
        <f aca="false">IFERROR(C181/J181,"")</f>
        <v/>
      </c>
      <c r="L181" s="19" t="str">
        <f aca="false">IFERROR(J181/F181,"")</f>
        <v/>
      </c>
      <c r="M181" s="11"/>
      <c r="N181" s="11"/>
      <c r="O181" s="21"/>
    </row>
    <row r="182" customFormat="false" ht="21.75" hidden="false" customHeight="true" outlineLevel="0" collapsed="false">
      <c r="A182" s="22"/>
      <c r="B182" s="5"/>
      <c r="C182" s="7"/>
      <c r="D182" s="23"/>
      <c r="E182" s="23"/>
      <c r="F182" s="23"/>
      <c r="G182" s="19" t="str">
        <f aca="false">IFERROR(F182/D182,"")</f>
        <v/>
      </c>
      <c r="H182" s="20" t="str">
        <f aca="false">IFERROR(C182/F182,"")</f>
        <v/>
      </c>
      <c r="I182" s="20" t="str">
        <f aca="false">IFERROR(C182/D182*1000,"")</f>
        <v/>
      </c>
      <c r="J182" s="5"/>
      <c r="K182" s="20" t="str">
        <f aca="false">IFERROR(C182/J182,"")</f>
        <v/>
      </c>
      <c r="L182" s="19" t="str">
        <f aca="false">IFERROR(J182/F182,"")</f>
        <v/>
      </c>
      <c r="M182" s="5"/>
      <c r="N182" s="5"/>
      <c r="O182" s="24"/>
    </row>
    <row r="183" customFormat="false" ht="21.75" hidden="false" customHeight="true" outlineLevel="0" collapsed="false">
      <c r="A183" s="17"/>
      <c r="B183" s="11"/>
      <c r="C183" s="12"/>
      <c r="D183" s="18"/>
      <c r="E183" s="18"/>
      <c r="F183" s="18"/>
      <c r="G183" s="19" t="str">
        <f aca="false">IFERROR(F183/D183,"")</f>
        <v/>
      </c>
      <c r="H183" s="20" t="str">
        <f aca="false">IFERROR(C183/F183,"")</f>
        <v/>
      </c>
      <c r="I183" s="20" t="str">
        <f aca="false">IFERROR(C183/D183*1000,"")</f>
        <v/>
      </c>
      <c r="J183" s="11"/>
      <c r="K183" s="20" t="str">
        <f aca="false">IFERROR(C183/J183,"")</f>
        <v/>
      </c>
      <c r="L183" s="19" t="str">
        <f aca="false">IFERROR(J183/F183,"")</f>
        <v/>
      </c>
      <c r="M183" s="11"/>
      <c r="N183" s="11"/>
      <c r="O183" s="21"/>
    </row>
    <row r="184" customFormat="false" ht="21.75" hidden="false" customHeight="true" outlineLevel="0" collapsed="false">
      <c r="A184" s="22"/>
      <c r="B184" s="5"/>
      <c r="C184" s="7"/>
      <c r="D184" s="23"/>
      <c r="E184" s="23"/>
      <c r="F184" s="23"/>
      <c r="G184" s="19" t="str">
        <f aca="false">IFERROR(F184/D184,"")</f>
        <v/>
      </c>
      <c r="H184" s="20" t="str">
        <f aca="false">IFERROR(C184/F184,"")</f>
        <v/>
      </c>
      <c r="I184" s="20" t="str">
        <f aca="false">IFERROR(C184/D184*1000,"")</f>
        <v/>
      </c>
      <c r="J184" s="5"/>
      <c r="K184" s="20" t="str">
        <f aca="false">IFERROR(C184/J184,"")</f>
        <v/>
      </c>
      <c r="L184" s="19" t="str">
        <f aca="false">IFERROR(J184/F184,"")</f>
        <v/>
      </c>
      <c r="M184" s="5"/>
      <c r="N184" s="5"/>
      <c r="O184" s="24"/>
    </row>
    <row r="185" customFormat="false" ht="21.75" hidden="false" customHeight="true" outlineLevel="0" collapsed="false">
      <c r="A185" s="17"/>
      <c r="B185" s="11"/>
      <c r="C185" s="12"/>
      <c r="D185" s="18"/>
      <c r="E185" s="18"/>
      <c r="F185" s="18"/>
      <c r="G185" s="19" t="str">
        <f aca="false">IFERROR(F185/D185,"")</f>
        <v/>
      </c>
      <c r="H185" s="20" t="str">
        <f aca="false">IFERROR(C185/F185,"")</f>
        <v/>
      </c>
      <c r="I185" s="20" t="str">
        <f aca="false">IFERROR(C185/D185*1000,"")</f>
        <v/>
      </c>
      <c r="J185" s="11"/>
      <c r="K185" s="20" t="str">
        <f aca="false">IFERROR(C185/J185,"")</f>
        <v/>
      </c>
      <c r="L185" s="19" t="str">
        <f aca="false">IFERROR(J185/F185,"")</f>
        <v/>
      </c>
      <c r="M185" s="11"/>
      <c r="N185" s="11"/>
      <c r="O185" s="21"/>
    </row>
    <row r="186" customFormat="false" ht="21.75" hidden="false" customHeight="true" outlineLevel="0" collapsed="false">
      <c r="A186" s="22"/>
      <c r="B186" s="5"/>
      <c r="C186" s="7"/>
      <c r="D186" s="23"/>
      <c r="E186" s="23"/>
      <c r="F186" s="23"/>
      <c r="G186" s="19" t="str">
        <f aca="false">IFERROR(F186/D186,"")</f>
        <v/>
      </c>
      <c r="H186" s="20" t="str">
        <f aca="false">IFERROR(C186/F186,"")</f>
        <v/>
      </c>
      <c r="I186" s="20" t="str">
        <f aca="false">IFERROR(C186/D186*1000,"")</f>
        <v/>
      </c>
      <c r="J186" s="5"/>
      <c r="K186" s="20" t="str">
        <f aca="false">IFERROR(C186/J186,"")</f>
        <v/>
      </c>
      <c r="L186" s="19" t="str">
        <f aca="false">IFERROR(J186/F186,"")</f>
        <v/>
      </c>
      <c r="M186" s="5"/>
      <c r="N186" s="5"/>
      <c r="O186" s="24"/>
    </row>
    <row r="187" customFormat="false" ht="21.75" hidden="false" customHeight="true" outlineLevel="0" collapsed="false">
      <c r="A187" s="17"/>
      <c r="B187" s="11"/>
      <c r="C187" s="12"/>
      <c r="D187" s="18"/>
      <c r="E187" s="18"/>
      <c r="F187" s="18"/>
      <c r="G187" s="19" t="str">
        <f aca="false">IFERROR(F187/D187,"")</f>
        <v/>
      </c>
      <c r="H187" s="20" t="str">
        <f aca="false">IFERROR(C187/F187,"")</f>
        <v/>
      </c>
      <c r="I187" s="20" t="str">
        <f aca="false">IFERROR(C187/D187*1000,"")</f>
        <v/>
      </c>
      <c r="J187" s="11"/>
      <c r="K187" s="20" t="str">
        <f aca="false">IFERROR(C187/J187,"")</f>
        <v/>
      </c>
      <c r="L187" s="19" t="str">
        <f aca="false">IFERROR(J187/F187,"")</f>
        <v/>
      </c>
      <c r="M187" s="11"/>
      <c r="N187" s="11"/>
      <c r="O187" s="21"/>
    </row>
    <row r="188" customFormat="false" ht="21.75" hidden="false" customHeight="true" outlineLevel="0" collapsed="false">
      <c r="A188" s="22"/>
      <c r="B188" s="5"/>
      <c r="C188" s="7"/>
      <c r="D188" s="23"/>
      <c r="E188" s="23"/>
      <c r="F188" s="23"/>
      <c r="G188" s="19" t="str">
        <f aca="false">IFERROR(F188/D188,"")</f>
        <v/>
      </c>
      <c r="H188" s="20" t="str">
        <f aca="false">IFERROR(C188/F188,"")</f>
        <v/>
      </c>
      <c r="I188" s="20" t="str">
        <f aca="false">IFERROR(C188/D188*1000,"")</f>
        <v/>
      </c>
      <c r="J188" s="5"/>
      <c r="K188" s="20" t="str">
        <f aca="false">IFERROR(C188/J188,"")</f>
        <v/>
      </c>
      <c r="L188" s="19" t="str">
        <f aca="false">IFERROR(J188/F188,"")</f>
        <v/>
      </c>
      <c r="M188" s="5"/>
      <c r="N188" s="5"/>
      <c r="O188" s="24"/>
    </row>
    <row r="189" customFormat="false" ht="21.75" hidden="false" customHeight="true" outlineLevel="0" collapsed="false">
      <c r="A189" s="17"/>
      <c r="B189" s="11"/>
      <c r="C189" s="12"/>
      <c r="D189" s="18"/>
      <c r="E189" s="18"/>
      <c r="F189" s="18"/>
      <c r="G189" s="19" t="str">
        <f aca="false">IFERROR(F189/D189,"")</f>
        <v/>
      </c>
      <c r="H189" s="20" t="str">
        <f aca="false">IFERROR(C189/F189,"")</f>
        <v/>
      </c>
      <c r="I189" s="20" t="str">
        <f aca="false">IFERROR(C189/D189*1000,"")</f>
        <v/>
      </c>
      <c r="J189" s="11"/>
      <c r="K189" s="20" t="str">
        <f aca="false">IFERROR(C189/J189,"")</f>
        <v/>
      </c>
      <c r="L189" s="19" t="str">
        <f aca="false">IFERROR(J189/F189,"")</f>
        <v/>
      </c>
      <c r="M189" s="11"/>
      <c r="N189" s="11"/>
      <c r="O189" s="21"/>
    </row>
    <row r="190" customFormat="false" ht="21.75" hidden="false" customHeight="true" outlineLevel="0" collapsed="false">
      <c r="A190" s="22"/>
      <c r="B190" s="5"/>
      <c r="C190" s="7"/>
      <c r="D190" s="23"/>
      <c r="E190" s="23"/>
      <c r="F190" s="23"/>
      <c r="G190" s="19" t="str">
        <f aca="false">IFERROR(F190/D190,"")</f>
        <v/>
      </c>
      <c r="H190" s="20" t="str">
        <f aca="false">IFERROR(C190/F190,"")</f>
        <v/>
      </c>
      <c r="I190" s="20" t="str">
        <f aca="false">IFERROR(C190/D190*1000,"")</f>
        <v/>
      </c>
      <c r="J190" s="5"/>
      <c r="K190" s="20" t="str">
        <f aca="false">IFERROR(C190/J190,"")</f>
        <v/>
      </c>
      <c r="L190" s="19" t="str">
        <f aca="false">IFERROR(J190/F190,"")</f>
        <v/>
      </c>
      <c r="M190" s="5"/>
      <c r="N190" s="5"/>
      <c r="O190" s="24"/>
    </row>
    <row r="191" customFormat="false" ht="21.75" hidden="false" customHeight="true" outlineLevel="0" collapsed="false">
      <c r="A191" s="17"/>
      <c r="B191" s="11"/>
      <c r="C191" s="12"/>
      <c r="D191" s="18"/>
      <c r="E191" s="18"/>
      <c r="F191" s="18"/>
      <c r="G191" s="19" t="str">
        <f aca="false">IFERROR(F191/D191,"")</f>
        <v/>
      </c>
      <c r="H191" s="20" t="str">
        <f aca="false">IFERROR(C191/F191,"")</f>
        <v/>
      </c>
      <c r="I191" s="20" t="str">
        <f aca="false">IFERROR(C191/D191*1000,"")</f>
        <v/>
      </c>
      <c r="J191" s="11"/>
      <c r="K191" s="20" t="str">
        <f aca="false">IFERROR(C191/J191,"")</f>
        <v/>
      </c>
      <c r="L191" s="19" t="str">
        <f aca="false">IFERROR(J191/F191,"")</f>
        <v/>
      </c>
      <c r="M191" s="11"/>
      <c r="N191" s="11"/>
      <c r="O191" s="21"/>
    </row>
    <row r="192" customFormat="false" ht="21.75" hidden="false" customHeight="true" outlineLevel="0" collapsed="false">
      <c r="A192" s="22"/>
      <c r="B192" s="5"/>
      <c r="C192" s="7"/>
      <c r="D192" s="23"/>
      <c r="E192" s="23"/>
      <c r="F192" s="23"/>
      <c r="G192" s="19" t="str">
        <f aca="false">IFERROR(F192/D192,"")</f>
        <v/>
      </c>
      <c r="H192" s="20" t="str">
        <f aca="false">IFERROR(C192/F192,"")</f>
        <v/>
      </c>
      <c r="I192" s="20" t="str">
        <f aca="false">IFERROR(C192/D192*1000,"")</f>
        <v/>
      </c>
      <c r="J192" s="5"/>
      <c r="K192" s="20" t="str">
        <f aca="false">IFERROR(C192/J192,"")</f>
        <v/>
      </c>
      <c r="L192" s="19" t="str">
        <f aca="false">IFERROR(J192/F192,"")</f>
        <v/>
      </c>
      <c r="M192" s="5"/>
      <c r="N192" s="5"/>
      <c r="O192" s="24"/>
    </row>
    <row r="193" customFormat="false" ht="21.75" hidden="false" customHeight="true" outlineLevel="0" collapsed="false">
      <c r="A193" s="17"/>
      <c r="B193" s="11"/>
      <c r="C193" s="12"/>
      <c r="D193" s="18"/>
      <c r="E193" s="18"/>
      <c r="F193" s="18"/>
      <c r="G193" s="19" t="str">
        <f aca="false">IFERROR(F193/D193,"")</f>
        <v/>
      </c>
      <c r="H193" s="20" t="str">
        <f aca="false">IFERROR(C193/F193,"")</f>
        <v/>
      </c>
      <c r="I193" s="20" t="str">
        <f aca="false">IFERROR(C193/D193*1000,"")</f>
        <v/>
      </c>
      <c r="J193" s="11"/>
      <c r="K193" s="20" t="str">
        <f aca="false">IFERROR(C193/J193,"")</f>
        <v/>
      </c>
      <c r="L193" s="19" t="str">
        <f aca="false">IFERROR(J193/F193,"")</f>
        <v/>
      </c>
      <c r="M193" s="11"/>
      <c r="N193" s="11"/>
      <c r="O193" s="21"/>
    </row>
    <row r="194" customFormat="false" ht="21.75" hidden="false" customHeight="true" outlineLevel="0" collapsed="false">
      <c r="A194" s="22"/>
      <c r="B194" s="5"/>
      <c r="C194" s="7"/>
      <c r="D194" s="23"/>
      <c r="E194" s="23"/>
      <c r="F194" s="23"/>
      <c r="G194" s="19" t="str">
        <f aca="false">IFERROR(F194/D194,"")</f>
        <v/>
      </c>
      <c r="H194" s="20" t="str">
        <f aca="false">IFERROR(C194/F194,"")</f>
        <v/>
      </c>
      <c r="I194" s="20" t="str">
        <f aca="false">IFERROR(C194/D194*1000,"")</f>
        <v/>
      </c>
      <c r="J194" s="5"/>
      <c r="K194" s="20" t="str">
        <f aca="false">IFERROR(C194/J194,"")</f>
        <v/>
      </c>
      <c r="L194" s="19" t="str">
        <f aca="false">IFERROR(J194/F194,"")</f>
        <v/>
      </c>
      <c r="M194" s="5"/>
      <c r="N194" s="5"/>
      <c r="O194" s="24"/>
    </row>
    <row r="195" customFormat="false" ht="21.75" hidden="false" customHeight="true" outlineLevel="0" collapsed="false">
      <c r="A195" s="17"/>
      <c r="B195" s="11"/>
      <c r="C195" s="12"/>
      <c r="D195" s="18"/>
      <c r="E195" s="18"/>
      <c r="F195" s="18"/>
      <c r="G195" s="19" t="str">
        <f aca="false">IFERROR(F195/D195,"")</f>
        <v/>
      </c>
      <c r="H195" s="20" t="str">
        <f aca="false">IFERROR(C195/F195,"")</f>
        <v/>
      </c>
      <c r="I195" s="20" t="str">
        <f aca="false">IFERROR(C195/D195*1000,"")</f>
        <v/>
      </c>
      <c r="J195" s="11"/>
      <c r="K195" s="20" t="str">
        <f aca="false">IFERROR(C195/J195,"")</f>
        <v/>
      </c>
      <c r="L195" s="19" t="str">
        <f aca="false">IFERROR(J195/F195,"")</f>
        <v/>
      </c>
      <c r="M195" s="11"/>
      <c r="N195" s="11"/>
      <c r="O195" s="21"/>
    </row>
    <row r="196" customFormat="false" ht="21.75" hidden="false" customHeight="true" outlineLevel="0" collapsed="false">
      <c r="A196" s="22"/>
      <c r="B196" s="5"/>
      <c r="C196" s="7"/>
      <c r="D196" s="23"/>
      <c r="E196" s="23"/>
      <c r="F196" s="23"/>
      <c r="G196" s="19" t="str">
        <f aca="false">IFERROR(F196/D196,"")</f>
        <v/>
      </c>
      <c r="H196" s="20" t="str">
        <f aca="false">IFERROR(C196/F196,"")</f>
        <v/>
      </c>
      <c r="I196" s="20" t="str">
        <f aca="false">IFERROR(C196/D196*1000,"")</f>
        <v/>
      </c>
      <c r="J196" s="5"/>
      <c r="K196" s="20" t="str">
        <f aca="false">IFERROR(C196/J196,"")</f>
        <v/>
      </c>
      <c r="L196" s="19" t="str">
        <f aca="false">IFERROR(J196/F196,"")</f>
        <v/>
      </c>
      <c r="M196" s="5"/>
      <c r="N196" s="5"/>
      <c r="O196" s="24"/>
    </row>
    <row r="197" customFormat="false" ht="21.75" hidden="false" customHeight="true" outlineLevel="0" collapsed="false">
      <c r="A197" s="17"/>
      <c r="B197" s="11"/>
      <c r="C197" s="12"/>
      <c r="D197" s="18"/>
      <c r="E197" s="18"/>
      <c r="F197" s="18"/>
      <c r="G197" s="19" t="str">
        <f aca="false">IFERROR(F197/D197,"")</f>
        <v/>
      </c>
      <c r="H197" s="20" t="str">
        <f aca="false">IFERROR(C197/F197,"")</f>
        <v/>
      </c>
      <c r="I197" s="20" t="str">
        <f aca="false">IFERROR(C197/D197*1000,"")</f>
        <v/>
      </c>
      <c r="J197" s="11"/>
      <c r="K197" s="20" t="str">
        <f aca="false">IFERROR(C197/J197,"")</f>
        <v/>
      </c>
      <c r="L197" s="19" t="str">
        <f aca="false">IFERROR(J197/F197,"")</f>
        <v/>
      </c>
      <c r="M197" s="11"/>
      <c r="N197" s="11"/>
      <c r="O197" s="21"/>
    </row>
    <row r="198" customFormat="false" ht="21.75" hidden="false" customHeight="true" outlineLevel="0" collapsed="false">
      <c r="A198" s="22"/>
      <c r="B198" s="5"/>
      <c r="C198" s="7"/>
      <c r="D198" s="23"/>
      <c r="E198" s="23"/>
      <c r="F198" s="23"/>
      <c r="G198" s="19" t="str">
        <f aca="false">IFERROR(F198/D198,"")</f>
        <v/>
      </c>
      <c r="H198" s="20" t="str">
        <f aca="false">IFERROR(C198/F198,"")</f>
        <v/>
      </c>
      <c r="I198" s="20" t="str">
        <f aca="false">IFERROR(C198/D198*1000,"")</f>
        <v/>
      </c>
      <c r="J198" s="5"/>
      <c r="K198" s="20" t="str">
        <f aca="false">IFERROR(C198/J198,"")</f>
        <v/>
      </c>
      <c r="L198" s="19" t="str">
        <f aca="false">IFERROR(J198/F198,"")</f>
        <v/>
      </c>
      <c r="M198" s="5"/>
      <c r="N198" s="5"/>
      <c r="O198" s="24"/>
    </row>
    <row r="199" customFormat="false" ht="21.75" hidden="false" customHeight="true" outlineLevel="0" collapsed="false">
      <c r="A199" s="17"/>
      <c r="B199" s="11"/>
      <c r="C199" s="12"/>
      <c r="D199" s="18"/>
      <c r="E199" s="18"/>
      <c r="F199" s="18"/>
      <c r="G199" s="19" t="str">
        <f aca="false">IFERROR(F199/D199,"")</f>
        <v/>
      </c>
      <c r="H199" s="20" t="str">
        <f aca="false">IFERROR(C199/F199,"")</f>
        <v/>
      </c>
      <c r="I199" s="20" t="str">
        <f aca="false">IFERROR(C199/D199*1000,"")</f>
        <v/>
      </c>
      <c r="J199" s="11"/>
      <c r="K199" s="20" t="str">
        <f aca="false">IFERROR(C199/J199,"")</f>
        <v/>
      </c>
      <c r="L199" s="19" t="str">
        <f aca="false">IFERROR(J199/F199,"")</f>
        <v/>
      </c>
      <c r="M199" s="11"/>
      <c r="N199" s="11"/>
      <c r="O199" s="21"/>
    </row>
    <row r="200" customFormat="false" ht="21.75" hidden="false" customHeight="true" outlineLevel="0" collapsed="false">
      <c r="A200" s="22"/>
      <c r="B200" s="5"/>
      <c r="C200" s="7"/>
      <c r="D200" s="23"/>
      <c r="E200" s="23"/>
      <c r="F200" s="23"/>
      <c r="G200" s="19" t="str">
        <f aca="false">IFERROR(F200/D200,"")</f>
        <v/>
      </c>
      <c r="H200" s="20" t="str">
        <f aca="false">IFERROR(C200/F200,"")</f>
        <v/>
      </c>
      <c r="I200" s="20" t="str">
        <f aca="false">IFERROR(C200/D200*1000,"")</f>
        <v/>
      </c>
      <c r="J200" s="5"/>
      <c r="K200" s="20" t="str">
        <f aca="false">IFERROR(C200/J200,"")</f>
        <v/>
      </c>
      <c r="L200" s="19" t="str">
        <f aca="false">IFERROR(J200/F200,"")</f>
        <v/>
      </c>
      <c r="M200" s="5"/>
      <c r="N200" s="5"/>
      <c r="O200" s="24"/>
    </row>
    <row r="201" customFormat="false" ht="21.75" hidden="false" customHeight="true" outlineLevel="0" collapsed="false">
      <c r="A201" s="17"/>
      <c r="B201" s="11"/>
      <c r="C201" s="12"/>
      <c r="D201" s="18"/>
      <c r="E201" s="18"/>
      <c r="F201" s="18"/>
      <c r="G201" s="19" t="str">
        <f aca="false">IFERROR(F201/D201,"")</f>
        <v/>
      </c>
      <c r="H201" s="20" t="str">
        <f aca="false">IFERROR(C201/F201,"")</f>
        <v/>
      </c>
      <c r="I201" s="20" t="str">
        <f aca="false">IFERROR(C201/D201*1000,"")</f>
        <v/>
      </c>
      <c r="J201" s="11"/>
      <c r="K201" s="20" t="str">
        <f aca="false">IFERROR(C201/J201,"")</f>
        <v/>
      </c>
      <c r="L201" s="19" t="str">
        <f aca="false">IFERROR(J201/F201,"")</f>
        <v/>
      </c>
      <c r="M201" s="11"/>
      <c r="N201" s="11"/>
      <c r="O201" s="21"/>
    </row>
    <row r="202" customFormat="false" ht="21.75" hidden="false" customHeight="true" outlineLevel="0" collapsed="false">
      <c r="A202" s="22"/>
      <c r="B202" s="5"/>
      <c r="C202" s="7"/>
      <c r="D202" s="23"/>
      <c r="E202" s="23"/>
      <c r="F202" s="23"/>
      <c r="G202" s="19" t="str">
        <f aca="false">IFERROR(F202/D202,"")</f>
        <v/>
      </c>
      <c r="H202" s="20" t="str">
        <f aca="false">IFERROR(C202/F202,"")</f>
        <v/>
      </c>
      <c r="I202" s="20" t="str">
        <f aca="false">IFERROR(C202/D202*1000,"")</f>
        <v/>
      </c>
      <c r="J202" s="5"/>
      <c r="K202" s="20" t="str">
        <f aca="false">IFERROR(C202/J202,"")</f>
        <v/>
      </c>
      <c r="L202" s="19" t="str">
        <f aca="false">IFERROR(J202/F202,"")</f>
        <v/>
      </c>
      <c r="M202" s="5"/>
      <c r="N202" s="5"/>
      <c r="O202" s="24"/>
    </row>
    <row r="203" customFormat="false" ht="21.75" hidden="false" customHeight="true" outlineLevel="0" collapsed="false">
      <c r="A203" s="17"/>
      <c r="B203" s="11"/>
      <c r="C203" s="12"/>
      <c r="D203" s="18"/>
      <c r="E203" s="18"/>
      <c r="F203" s="18"/>
      <c r="G203" s="19" t="str">
        <f aca="false">IFERROR(F203/D203,"")</f>
        <v/>
      </c>
      <c r="H203" s="20" t="str">
        <f aca="false">IFERROR(C203/F203,"")</f>
        <v/>
      </c>
      <c r="I203" s="20" t="str">
        <f aca="false">IFERROR(C203/D203*1000,"")</f>
        <v/>
      </c>
      <c r="J203" s="11"/>
      <c r="K203" s="20" t="str">
        <f aca="false">IFERROR(C203/J203,"")</f>
        <v/>
      </c>
      <c r="L203" s="19" t="str">
        <f aca="false">IFERROR(J203/F203,"")</f>
        <v/>
      </c>
      <c r="M203" s="11"/>
      <c r="N203" s="11"/>
      <c r="O203" s="21"/>
    </row>
    <row r="204" customFormat="false" ht="21.75" hidden="false" customHeight="true" outlineLevel="0" collapsed="false">
      <c r="A204" s="22"/>
      <c r="B204" s="5"/>
      <c r="C204" s="7"/>
      <c r="D204" s="23"/>
      <c r="E204" s="23"/>
      <c r="F204" s="23"/>
      <c r="G204" s="19" t="str">
        <f aca="false">IFERROR(F204/D204,"")</f>
        <v/>
      </c>
      <c r="H204" s="20" t="str">
        <f aca="false">IFERROR(C204/F204,"")</f>
        <v/>
      </c>
      <c r="I204" s="20" t="str">
        <f aca="false">IFERROR(C204/D204*1000,"")</f>
        <v/>
      </c>
      <c r="J204" s="5"/>
      <c r="K204" s="20" t="str">
        <f aca="false">IFERROR(C204/J204,"")</f>
        <v/>
      </c>
      <c r="L204" s="19" t="str">
        <f aca="false">IFERROR(J204/F204,"")</f>
        <v/>
      </c>
      <c r="M204" s="5"/>
      <c r="N204" s="5"/>
      <c r="O204" s="24"/>
    </row>
  </sheetData>
  <mergeCells count="5">
    <mergeCell ref="A1:O1"/>
    <mergeCell ref="A2:B2"/>
    <mergeCell ref="E2:F2"/>
    <mergeCell ref="H2:O2"/>
    <mergeCell ref="A3:O3"/>
  </mergeCells>
  <conditionalFormatting sqref="K5:K204">
    <cfRule type="expression" priority="2" aboveAverage="0" equalAverage="0" bottom="0" percent="0" rank="0" text="" dxfId="0">
      <formula>AND(B5="Meta Ads",ISNUMBER(K5),ISNUMBER($C$2),K5&lt;=$C$2)</formula>
    </cfRule>
    <cfRule type="expression" priority="3" aboveAverage="0" equalAverage="0" bottom="0" percent="0" rank="0" text="" dxfId="1">
      <formula>AND(B5="Meta Ads",ISNUMBER(K5),ISNUMBER($C$2),K5&gt;$C$2)</formula>
    </cfRule>
    <cfRule type="expression" priority="4" aboveAverage="0" equalAverage="0" bottom="0" percent="0" rank="0" text="" dxfId="0">
      <formula>AND(B5&lt;&gt;"Meta Ads",ISNUMBER(K5),ISNUMBER($G$2),K5&lt;=$G$2)</formula>
    </cfRule>
    <cfRule type="expression" priority="5" aboveAverage="0" equalAverage="0" bottom="0" percent="0" rank="0" text="" dxfId="1">
      <formula>AND(B5&lt;&gt;"Meta Ads",ISNUMBER(K5),ISNUMBER($G$2),K5&gt;$G$2)</formula>
    </cfRule>
  </conditionalFormatting>
  <dataValidations count="1">
    <dataValidation allowBlank="true" error="Selecione: Meta Ads, Google Search ou Google PMax" errorStyle="stop" errorTitle="Plataforma invalida" operator="between" showDropDown="false" showErrorMessage="true" showInputMessage="false" sqref="B5:B204" type="list">
      <formula1>"Meta Ads,Google Search,Google PMax"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2026-05-26T20:34:16Z</dcterms:created>
  <dc:creator>openpyxl</dc:creator>
  <dc:description/>
  <dc:language>en-US</dc:language>
  <cp:lastModifiedBy/>
  <dcterms:modified xsi:type="dcterms:W3CDTF">2026-05-26T20:34:18Z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