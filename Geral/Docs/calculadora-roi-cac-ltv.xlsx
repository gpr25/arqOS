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Autoshopping" sheetId="2" state="visible" r:id="rId4"/>
    <sheet name="Shopping B2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<sst xmlns="http://schemas.openxmlformats.org/spreadsheetml/2006/main" count="79" uniqueCount="54">
  <si>
    <t xml:space="preserve">CALCULADORA DE ROI, CAC E LTV — GRUPO GADENS</t>
  </si>
  <si>
    <t xml:space="preserve">Como usar:</t>
  </si>
  <si>
    <t xml:space="preserve">1. Vá na aba do cliente. As duas abas seguem o MESMO modelo, só muda o nome (Venda/Contrato).</t>
  </si>
  <si>
    <t xml:space="preserve">2. Preencha só as células AMARELAS. As brancas calculam sozinhas, não editar.</t>
  </si>
  <si>
    <t xml:space="preserve">3. Para comparar meses, duplique a aba e mude o mês no topo.</t>
  </si>
  <si>
    <t xml:space="preserve">SIGLAS, EM UMA LINHA:</t>
  </si>
  <si>
    <t xml:space="preserve">CPL = Custo Por Lead</t>
  </si>
  <si>
    <t xml:space="preserve">CAC = Custo por Venda/Contrato fechado</t>
  </si>
  <si>
    <t xml:space="preserve">LTV = Valor de 1 cliente ao longo de todo o relacionamento, não só a 1ª compra</t>
  </si>
  <si>
    <t xml:space="preserve">DUAS RÉGUAS DE RETORNO — NÃO MISTURAR:</t>
  </si>
  <si>
    <t xml:space="preserve">ROAS (retorno bruto) = Receita ÷ Gasto. EMPATE = 100%. Abaixo de 100% é prejuízo.</t>
  </si>
  <si>
    <t xml:space="preserve">ROI (retorno líquido) = (Receita − Gasto) ÷ Gasto. EMPATE = 0%. Abaixo de 0% é prejuízo.</t>
  </si>
  <si>
    <t xml:space="preserve">Mesma situação financeira, números diferentes. Use sempre o mesmo nome para a mesma régua.</t>
  </si>
  <si>
    <t xml:space="preserve">METAS DE REFERÊNCIA (mercado geral, ajustar com a gestão depois):</t>
  </si>
  <si>
    <t xml:space="preserve">ROAS acima de 100% = lucro bruto. Abaixo = prejuízo.</t>
  </si>
  <si>
    <t xml:space="preserve">ROI sobre margem acima de 0% = lucro líquido real. Abaixo = prejuízo real.</t>
  </si>
  <si>
    <t xml:space="preserve">LTV / CAC de 3x ou mais = relação saudável (referência comum, não é regra fixa do seu negócio).</t>
  </si>
  <si>
    <t xml:space="preserve">AUTOSHOPPING — CPL, CAC, LTV, ROAS E ROI</t>
  </si>
  <si>
    <t xml:space="preserve">MÊS DE REFERÊNCIA</t>
  </si>
  <si>
    <t xml:space="preserve">Junho/2026</t>
  </si>
  <si>
    <t xml:space="preserve">DADOS DE ENTRADA (preencher só o amarelo)</t>
  </si>
  <si>
    <t xml:space="preserve">Gasto total no período (R$)</t>
  </si>
  <si>
    <t xml:space="preserve">Total de leads gerados</t>
  </si>
  <si>
    <t xml:space="preserve">Vendas fechados no período</t>
  </si>
  <si>
    <t xml:space="preserve">Retorno manual de quem confirma o fechamento</t>
  </si>
  <si>
    <t xml:space="preserve">Valor médio da transação imediata (R$)</t>
  </si>
  <si>
    <t xml:space="preserve">Número médio de compras esperadas por cliente</t>
  </si>
  <si>
    <t xml:space="preserve">Recompra/indicação futura. Use 1 se considerar só a venda única.</t>
  </si>
  <si>
    <t xml:space="preserve">Margem de LUCRO sobre a venda/contrato (%)</t>
  </si>
  <si>
    <t xml:space="preserve">Ex: 20% = de cada R$, 20% é lucro. Não é custo. 100% se não souber.</t>
  </si>
  <si>
    <t xml:space="preserve">RESULTADOS (calculam sozinhos, não editar)</t>
  </si>
  <si>
    <t xml:space="preserve">CPL — Custo por Lead</t>
  </si>
  <si>
    <t xml:space="preserve">Taxa de Conversão (Lead → Venda)</t>
  </si>
  <si>
    <t xml:space="preserve">CAC — Custo por Venda Fechado</t>
  </si>
  <si>
    <t xml:space="preserve">LTV — Valor de 1 Cliente (vida completa)</t>
  </si>
  <si>
    <t xml:space="preserve">Receita Atribuída ao Tráfego (1ª transação)</t>
  </si>
  <si>
    <t xml:space="preserve">Receita Atribuída em Margem (R$)</t>
  </si>
  <si>
    <t xml:space="preserve">Receita Total no Período (base LTV)</t>
  </si>
  <si>
    <t xml:space="preserve">RETORNO — DUAS RÉGUAS, NÃO CONFUNDIR</t>
  </si>
  <si>
    <t xml:space="preserve">ROAS — Retorno Bruto (100% = empatou)</t>
  </si>
  <si>
    <t xml:space="preserve">Abaixo de 100% = prejuízo. Acima = múltiplo do gasto que voltou.</t>
  </si>
  <si>
    <t xml:space="preserve">ROI sobre Margem — Retorno Líquido (0% = empatou)</t>
  </si>
  <si>
    <t xml:space="preserve">Abaixo de 0% = prejuízo real (considerando lucro, não faturamento).</t>
  </si>
  <si>
    <t xml:space="preserve">ROI baseado em LTV — Retorno de Longo Prazo</t>
  </si>
  <si>
    <t xml:space="preserve">Considera o valor total do cliente, não só a 1ª transação.</t>
  </si>
  <si>
    <t xml:space="preserve">Relação LTV / CAC</t>
  </si>
  <si>
    <t xml:space="preserve">Referência comum de mercado: 3x ou mais é saudável. Abaixo de 1x é prejuízo.</t>
  </si>
  <si>
    <t xml:space="preserve">Ressalva: rastreamento não auditado. Estes números dependem do retorno manual confirmado.</t>
  </si>
  <si>
    <t xml:space="preserve">SHOPPING B2B — CPL, CAC, LTV, ROAS E ROI</t>
  </si>
  <si>
    <t xml:space="preserve">Contratos fechados no período</t>
  </si>
  <si>
    <t xml:space="preserve">Duração média do contrato (meses)</t>
  </si>
  <si>
    <t xml:space="preserve">Perguntar ao comercial: quanto tempo um lojista costuma ficar.</t>
  </si>
  <si>
    <t xml:space="preserve">Taxa de Conversão (Lead → Contrato)</t>
  </si>
  <si>
    <t xml:space="preserve">CAC — Custo por Contrato Fechado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</si>
</sst>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#,##0;\(#,##0\);\-"/>
    <numFmt numFmtId="167" formatCode="0.0%"/>
    <numFmt numFmtId="168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59595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0" t="s">
        <v>2</v>
      </c>
    </row>
    <row r="7" customFormat="false" ht="15" hidden="false" customHeight="false" outlineLevel="0" collapsed="false">
      <c r="B7" s="0" t="s">
        <v>3</v>
      </c>
    </row>
    <row r="8" customFormat="false" ht="15" hidden="false" customHeight="false" outlineLevel="0" collapsed="false">
      <c r="B8" s="0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0" t="s">
        <v>6</v>
      </c>
    </row>
    <row r="12" customFormat="false" ht="15" hidden="false" customHeight="false" outlineLevel="0" collapsed="false">
      <c r="B12" s="0" t="s">
        <v>7</v>
      </c>
    </row>
    <row r="13" customFormat="false" ht="15" hidden="false" customHeight="false" outlineLevel="0" collapsed="false">
      <c r="B13" s="0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0" t="s">
        <v>10</v>
      </c>
    </row>
    <row r="17" customFormat="false" ht="15" hidden="false" customHeight="false" outlineLevel="0" collapsed="false">
      <c r="B17" s="0" t="s">
        <v>11</v>
      </c>
    </row>
    <row r="18" customFormat="false" ht="15" hidden="false" customHeight="false" outlineLevel="0" collapsed="false">
      <c r="B18" s="0" t="s">
        <v>12</v>
      </c>
    </row>
    <row r="20" customFormat="false" ht="15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0" t="s">
        <v>14</v>
      </c>
    </row>
    <row r="22" customFormat="false" ht="15" hidden="false" customHeight="false" outlineLevel="0" collapsed="false">
      <c r="B22" s="0" t="s">
        <v>15</v>
      </c>
    </row>
    <row r="23" customFormat="false" ht="15" hidden="false" customHeight="false" outlineLevel="0" collapsed="false">
      <c r="B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8"/>
  </cols>
  <sheetData>
    <row r="2" customFormat="false" ht="15" hidden="false" customHeight="false" outlineLevel="0" collapsed="false">
      <c r="B2" s="4" t="s">
        <v>17</v>
      </c>
      <c r="C2" s="4"/>
    </row>
    <row r="4" customFormat="false" ht="15" hidden="false" customHeight="false" outlineLevel="0" collapsed="false">
      <c r="B4" s="3" t="s">
        <v>18</v>
      </c>
      <c r="C4" s="5" t="s">
        <v>19</v>
      </c>
    </row>
    <row r="6" customFormat="false" ht="15" hidden="false" customHeight="false" outlineLevel="0" collapsed="false">
      <c r="B6" s="6" t="s">
        <v>20</v>
      </c>
      <c r="C6" s="7"/>
    </row>
    <row r="7" customFormat="false" ht="15" hidden="false" customHeight="false" outlineLevel="0" collapsed="false">
      <c r="B7" s="8" t="s">
        <v>21</v>
      </c>
      <c r="C7" s="9" t="n">
        <v>22000</v>
      </c>
    </row>
    <row r="8" customFormat="false" ht="15" hidden="false" customHeight="false" outlineLevel="0" collapsed="false">
      <c r="B8" s="8" t="s">
        <v>22</v>
      </c>
      <c r="C8" s="10" t="n">
        <v>150</v>
      </c>
    </row>
    <row r="9" customFormat="false" ht="15" hidden="false" customHeight="false" outlineLevel="0" collapsed="false">
      <c r="B9" s="8" t="s">
        <v>23</v>
      </c>
      <c r="C9" s="10" t="n">
        <v>5</v>
      </c>
      <c r="E9" s="11" t="s">
        <v>24</v>
      </c>
    </row>
    <row r="10" customFormat="false" ht="15" hidden="false" customHeight="false" outlineLevel="0" collapsed="false">
      <c r="B10" s="8" t="s">
        <v>25</v>
      </c>
      <c r="C10" s="9" t="n">
        <v>80000</v>
      </c>
    </row>
    <row r="11" customFormat="false" ht="15" hidden="false" customHeight="false" outlineLevel="0" collapsed="false">
      <c r="B11" s="8" t="s">
        <v>26</v>
      </c>
      <c r="C11" s="10" t="n">
        <v>1</v>
      </c>
      <c r="E11" s="11" t="s">
        <v>27</v>
      </c>
    </row>
    <row r="12" customFormat="false" ht="15" hidden="false" customHeight="false" outlineLevel="0" collapsed="false">
      <c r="B12" s="8" t="s">
        <v>28</v>
      </c>
      <c r="C12" s="12" t="n">
        <v>0.2</v>
      </c>
      <c r="E12" s="11" t="s">
        <v>29</v>
      </c>
    </row>
    <row r="14" customFormat="false" ht="15" hidden="false" customHeight="false" outlineLevel="0" collapsed="false">
      <c r="B14" s="6" t="s">
        <v>30</v>
      </c>
      <c r="C14" s="7"/>
    </row>
    <row r="15" customFormat="false" ht="15" hidden="false" customHeight="false" outlineLevel="0" collapsed="false">
      <c r="B15" s="8" t="s">
        <v>31</v>
      </c>
      <c r="C15" s="13" t="n">
        <f aca="false">C7/C8</f>
        <v>146.666666666667</v>
      </c>
    </row>
    <row r="16" customFormat="false" ht="15" hidden="false" customHeight="false" outlineLevel="0" collapsed="false">
      <c r="B16" s="8" t="s">
        <v>32</v>
      </c>
      <c r="C16" s="14" t="n">
        <f aca="false">C9/C8</f>
        <v>0.0333333333333333</v>
      </c>
    </row>
    <row r="17" customFormat="false" ht="15" hidden="false" customHeight="false" outlineLevel="0" collapsed="false">
      <c r="B17" s="8" t="s">
        <v>33</v>
      </c>
      <c r="C17" s="13" t="n">
        <f aca="false">IF(C9=0,"sem vendas no período",C7/C9)</f>
        <v>4400</v>
      </c>
    </row>
    <row r="18" customFormat="false" ht="15" hidden="false" customHeight="false" outlineLevel="0" collapsed="false">
      <c r="B18" s="8" t="s">
        <v>34</v>
      </c>
      <c r="C18" s="13" t="n">
        <f aca="false">C10*C11</f>
        <v>80000</v>
      </c>
    </row>
    <row r="19" customFormat="false" ht="15" hidden="false" customHeight="false" outlineLevel="0" collapsed="false">
      <c r="B19" s="8" t="s">
        <v>35</v>
      </c>
      <c r="C19" s="13" t="n">
        <f aca="false">C9*C10</f>
        <v>400000</v>
      </c>
    </row>
    <row r="20" customFormat="false" ht="15" hidden="false" customHeight="false" outlineLevel="0" collapsed="false">
      <c r="B20" s="8" t="s">
        <v>36</v>
      </c>
      <c r="C20" s="15" t="n">
        <f aca="false">C19*C12</f>
        <v>80000</v>
      </c>
    </row>
    <row r="21" customFormat="false" ht="15" hidden="false" customHeight="false" outlineLevel="0" collapsed="false">
      <c r="B21" s="8" t="s">
        <v>37</v>
      </c>
      <c r="C21" s="13" t="n">
        <f aca="false">C9*C18</f>
        <v>400000</v>
      </c>
    </row>
    <row r="23" customFormat="false" ht="15" hidden="false" customHeight="false" outlineLevel="0" collapsed="false">
      <c r="B23" s="6" t="s">
        <v>38</v>
      </c>
      <c r="C23" s="7"/>
    </row>
    <row r="24" customFormat="false" ht="15" hidden="false" customHeight="false" outlineLevel="0" collapsed="false">
      <c r="B24" s="8" t="s">
        <v>39</v>
      </c>
      <c r="C24" s="14" t="n">
        <f aca="false">IF(C7=0,"-",C19/C7)</f>
        <v>18.1818181818182</v>
      </c>
      <c r="E24" s="11" t="s">
        <v>40</v>
      </c>
    </row>
    <row r="25" customFormat="false" ht="15" hidden="false" customHeight="false" outlineLevel="0" collapsed="false">
      <c r="B25" s="8" t="s">
        <v>41</v>
      </c>
      <c r="C25" s="14" t="n">
        <f aca="false">IF(C7=0,"-",(C20-C7)/C7)</f>
        <v>2.63636363636364</v>
      </c>
      <c r="E25" s="11" t="s">
        <v>42</v>
      </c>
    </row>
    <row r="26" customFormat="false" ht="15" hidden="false" customHeight="false" outlineLevel="0" collapsed="false">
      <c r="B26" s="8" t="s">
        <v>43</v>
      </c>
      <c r="C26" s="14" t="n">
        <f aca="false">IF(C7=0,"-",(C21-C7)/C7)</f>
        <v>17.1818181818182</v>
      </c>
      <c r="E26" s="11" t="s">
        <v>44</v>
      </c>
    </row>
    <row r="27" customFormat="false" ht="15" hidden="false" customHeight="false" outlineLevel="0" collapsed="false">
      <c r="B27" s="8" t="s">
        <v>45</v>
      </c>
      <c r="C27" s="16" t="n">
        <f aca="false">IF(C9=0,"-",C18/C17)</f>
        <v>18.1818181818182</v>
      </c>
      <c r="E27" s="11" t="s">
        <v>46</v>
      </c>
    </row>
    <row r="29" customFormat="false" ht="15" hidden="false" customHeight="false" outlineLevel="0" collapsed="false">
      <c r="B29" s="17" t="s">
        <v>47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8"/>
  </cols>
  <sheetData>
    <row r="2" customFormat="false" ht="15" hidden="false" customHeight="false" outlineLevel="0" collapsed="false">
      <c r="B2" s="4" t="s">
        <v>48</v>
      </c>
      <c r="C2" s="4"/>
    </row>
    <row r="4" customFormat="false" ht="15" hidden="false" customHeight="false" outlineLevel="0" collapsed="false">
      <c r="B4" s="3" t="s">
        <v>18</v>
      </c>
      <c r="C4" s="5" t="s">
        <v>19</v>
      </c>
    </row>
    <row r="6" customFormat="false" ht="15" hidden="false" customHeight="false" outlineLevel="0" collapsed="false">
      <c r="B6" s="6" t="s">
        <v>20</v>
      </c>
      <c r="C6" s="7"/>
    </row>
    <row r="7" customFormat="false" ht="15" hidden="false" customHeight="false" outlineLevel="0" collapsed="false">
      <c r="B7" s="8" t="s">
        <v>21</v>
      </c>
      <c r="C7" s="9" t="n">
        <v>10000</v>
      </c>
    </row>
    <row r="8" customFormat="false" ht="15" hidden="false" customHeight="false" outlineLevel="0" collapsed="false">
      <c r="B8" s="8" t="s">
        <v>22</v>
      </c>
      <c r="C8" s="10" t="n">
        <v>20</v>
      </c>
    </row>
    <row r="9" customFormat="false" ht="15" hidden="false" customHeight="false" outlineLevel="0" collapsed="false">
      <c r="B9" s="8" t="s">
        <v>49</v>
      </c>
      <c r="C9" s="10" t="n">
        <v>2</v>
      </c>
      <c r="E9" s="11" t="s">
        <v>24</v>
      </c>
    </row>
    <row r="10" customFormat="false" ht="15" hidden="false" customHeight="false" outlineLevel="0" collapsed="false">
      <c r="B10" s="8" t="s">
        <v>25</v>
      </c>
      <c r="C10" s="9" t="n">
        <v>5000</v>
      </c>
    </row>
    <row r="11" customFormat="false" ht="15" hidden="false" customHeight="false" outlineLevel="0" collapsed="false">
      <c r="B11" s="8" t="s">
        <v>50</v>
      </c>
      <c r="C11" s="10" t="n">
        <v>24</v>
      </c>
      <c r="E11" s="11" t="s">
        <v>51</v>
      </c>
    </row>
    <row r="12" customFormat="false" ht="15" hidden="false" customHeight="false" outlineLevel="0" collapsed="false">
      <c r="B12" s="8" t="s">
        <v>28</v>
      </c>
      <c r="C12" s="12" t="n">
        <v>0.3</v>
      </c>
      <c r="E12" s="11" t="s">
        <v>29</v>
      </c>
    </row>
    <row r="14" customFormat="false" ht="15" hidden="false" customHeight="false" outlineLevel="0" collapsed="false">
      <c r="B14" s="6" t="s">
        <v>30</v>
      </c>
      <c r="C14" s="7"/>
    </row>
    <row r="15" customFormat="false" ht="15" hidden="false" customHeight="false" outlineLevel="0" collapsed="false">
      <c r="B15" s="8" t="s">
        <v>31</v>
      </c>
      <c r="C15" s="13" t="n">
        <f aca="false">C7/C8</f>
        <v>500</v>
      </c>
    </row>
    <row r="16" customFormat="false" ht="15" hidden="false" customHeight="false" outlineLevel="0" collapsed="false">
      <c r="B16" s="8" t="s">
        <v>52</v>
      </c>
      <c r="C16" s="14" t="n">
        <f aca="false">C9/C8</f>
        <v>0.1</v>
      </c>
    </row>
    <row r="17" customFormat="false" ht="15" hidden="false" customHeight="false" outlineLevel="0" collapsed="false">
      <c r="B17" s="8" t="s">
        <v>53</v>
      </c>
      <c r="C17" s="13" t="n">
        <f aca="false">IF(C9=0,"sem contratos no período",C7/C9)</f>
        <v>5000</v>
      </c>
    </row>
    <row r="18" customFormat="false" ht="15" hidden="false" customHeight="false" outlineLevel="0" collapsed="false">
      <c r="B18" s="8" t="s">
        <v>34</v>
      </c>
      <c r="C18" s="13" t="n">
        <f aca="false">C10*C11</f>
        <v>120000</v>
      </c>
    </row>
    <row r="19" customFormat="false" ht="15" hidden="false" customHeight="false" outlineLevel="0" collapsed="false">
      <c r="B19" s="8" t="s">
        <v>35</v>
      </c>
      <c r="C19" s="13" t="n">
        <f aca="false">C9*C10</f>
        <v>10000</v>
      </c>
    </row>
    <row r="20" customFormat="false" ht="15" hidden="false" customHeight="false" outlineLevel="0" collapsed="false">
      <c r="B20" s="8" t="s">
        <v>36</v>
      </c>
      <c r="C20" s="15" t="n">
        <f aca="false">C19*C12</f>
        <v>3000</v>
      </c>
    </row>
    <row r="21" customFormat="false" ht="15" hidden="false" customHeight="false" outlineLevel="0" collapsed="false">
      <c r="B21" s="8" t="s">
        <v>37</v>
      </c>
      <c r="C21" s="13" t="n">
        <f aca="false">C9*C18</f>
        <v>240000</v>
      </c>
    </row>
    <row r="23" customFormat="false" ht="15" hidden="false" customHeight="false" outlineLevel="0" collapsed="false">
      <c r="B23" s="6" t="s">
        <v>38</v>
      </c>
      <c r="C23" s="7"/>
    </row>
    <row r="24" customFormat="false" ht="15" hidden="false" customHeight="false" outlineLevel="0" collapsed="false">
      <c r="B24" s="8" t="s">
        <v>39</v>
      </c>
      <c r="C24" s="14" t="n">
        <f aca="false">IF(C7=0,"-",C19/C7)</f>
        <v>1</v>
      </c>
      <c r="E24" s="11" t="s">
        <v>40</v>
      </c>
    </row>
    <row r="25" customFormat="false" ht="15" hidden="false" customHeight="false" outlineLevel="0" collapsed="false">
      <c r="B25" s="8" t="s">
        <v>41</v>
      </c>
      <c r="C25" s="14" t="n">
        <f aca="false">IF(C7=0,"-",(C20-C7)/C7)</f>
        <v>-0.7</v>
      </c>
      <c r="E25" s="11" t="s">
        <v>42</v>
      </c>
    </row>
    <row r="26" customFormat="false" ht="15" hidden="false" customHeight="false" outlineLevel="0" collapsed="false">
      <c r="B26" s="8" t="s">
        <v>43</v>
      </c>
      <c r="C26" s="14" t="n">
        <f aca="false">IF(C7=0,"-",(C21-C7)/C7)</f>
        <v>23</v>
      </c>
      <c r="E26" s="11" t="s">
        <v>44</v>
      </c>
    </row>
    <row r="27" customFormat="false" ht="15" hidden="false" customHeight="false" outlineLevel="0" collapsed="false">
      <c r="B27" s="8" t="s">
        <v>45</v>
      </c>
      <c r="C27" s="16" t="n">
        <f aca="false">IF(C9=0,"-",C18/C17)</f>
        <v>24</v>
      </c>
      <c r="E27" s="11" t="s">
        <v>46</v>
      </c>
    </row>
    <row r="29" customFormat="false" ht="15" hidden="false" customHeight="false" outlineLevel="0" collapsed="false">
      <c r="B29" s="17" t="s">
        <v>47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2026-06-17T19:05:50Z</dcterms:created>
  <dc:creator>openpyxl</dc:creator>
  <dc:description/>
  <dc:language>en-US</dc:language>
  <cp:lastModifiedBy/>
  <dcterms:modified xsi:type="dcterms:W3CDTF">2026-06-17T19:05:50Z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